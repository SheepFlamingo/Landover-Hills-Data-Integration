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wnoflandoverhills-my.sharepoint.com/personal/faguilar_townoflandoverhills_onmicrosoft_com/Documents/FY25/"/>
    </mc:Choice>
  </mc:AlternateContent>
  <xr:revisionPtr revIDLastSave="3" documentId="8_{2BBBEB5D-6EC1-4F2E-8329-C3FB5C7F2D10}" xr6:coauthVersionLast="47" xr6:coauthVersionMax="47" xr10:uidLastSave="{FAF40FB0-378A-4E6D-AE0E-EF5414B82B23}"/>
  <bookViews>
    <workbookView xWindow="11376" yWindow="0" windowWidth="28284" windowHeight="17376" xr2:uid="{065803B9-B433-4F8C-8949-4555C3E450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5" i="1"/>
  <c r="D280" i="1"/>
  <c r="D278" i="1"/>
  <c r="D268" i="1"/>
  <c r="D226" i="1"/>
  <c r="D174" i="1"/>
  <c r="D163" i="1"/>
  <c r="D158" i="1"/>
  <c r="D65" i="1"/>
  <c r="D57" i="1"/>
  <c r="D41" i="1"/>
  <c r="D11" i="1"/>
  <c r="D2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<sst xmlns="http://schemas.openxmlformats.org/spreadsheetml/2006/main" count="369" uniqueCount="256">
  <si>
    <t>Budget ($)</t>
  </si>
  <si>
    <t>Budget Amendment #1 01/21/2025</t>
  </si>
  <si>
    <t>Budget Amendment #2</t>
  </si>
  <si>
    <t>Revenue</t>
  </si>
  <si>
    <t>ENFORCEMENT FEES</t>
  </si>
  <si>
    <t>-</t>
  </si>
  <si>
    <t>4021.00 Municipal Infractions/Liens</t>
  </si>
  <si>
    <t>4023.00 Vehicle Release Fees</t>
  </si>
  <si>
    <t>4024.00 Misc. Law Enforcement Fees</t>
  </si>
  <si>
    <t>4025.00 Local Parking Fees &amp; Fines</t>
  </si>
  <si>
    <t>4027.00 Red-Light Cameras</t>
  </si>
  <si>
    <t>4035.00 Speed Cameras</t>
  </si>
  <si>
    <t>Total for ENFORCEMENT FEES</t>
  </si>
  <si>
    <t>GRANTS</t>
  </si>
  <si>
    <t>4503.00 Chesapeake Bay Trust Grant</t>
  </si>
  <si>
    <t>4507.00 State grant for playground</t>
  </si>
  <si>
    <t>4511.00 Municipal Building Grant</t>
  </si>
  <si>
    <t>4500.00 CDBG</t>
  </si>
  <si>
    <t>4501.00 American Rescue Plan Act</t>
  </si>
  <si>
    <t>Total for GRANTS</t>
  </si>
  <si>
    <t>LICENSE FEES</t>
  </si>
  <si>
    <t>4010.00 Traders Licenses</t>
  </si>
  <si>
    <t>4011.00 Building Permits</t>
  </si>
  <si>
    <t>4012.00 Cable Franchise Fees (Comcast)</t>
  </si>
  <si>
    <t>4013.00 Other Permits</t>
  </si>
  <si>
    <t>4014.00 Verizon PEG Fees</t>
  </si>
  <si>
    <t>4015.00 Verizon Franchise Fees</t>
  </si>
  <si>
    <t>4016.00 Comcast PEG Fee</t>
  </si>
  <si>
    <t>Total for LICENSE FEES</t>
  </si>
  <si>
    <t>MISC. REVENUES</t>
  </si>
  <si>
    <t>4040.00 Interest/Dividends</t>
  </si>
  <si>
    <t>4042.00 Rental License Fees</t>
  </si>
  <si>
    <t>4045.00 Misc. Revenues</t>
  </si>
  <si>
    <t>4031.00 Bounced Check Fees</t>
  </si>
  <si>
    <t>4039.00 Scholarships</t>
  </si>
  <si>
    <t>4041.00 Disposal Fees</t>
  </si>
  <si>
    <t>4046.00 Veterans Memorial</t>
  </si>
  <si>
    <t>4047.00 Donations to Police Department</t>
  </si>
  <si>
    <t>4703.00 Affordable Cares Act Refund / Carefirst</t>
  </si>
  <si>
    <t>Total for MISC. REVENUES</t>
  </si>
  <si>
    <t>POLICE GRANTS</t>
  </si>
  <si>
    <t>4420.00 State Police Protection</t>
  </si>
  <si>
    <t>4419.00 Vest Grant</t>
  </si>
  <si>
    <t>4430.00 County Police Protection</t>
  </si>
  <si>
    <t>Total for POLICE GRANTS</t>
  </si>
  <si>
    <t>TAXES</t>
  </si>
  <si>
    <t>4003.00 Personal Property Tax</t>
  </si>
  <si>
    <t>4004.00 Public Utilities</t>
  </si>
  <si>
    <t>4005.00 Income Tax</t>
  </si>
  <si>
    <t>4006.00 Admission/Amusement</t>
  </si>
  <si>
    <t>4008.00 Highway User Fees</t>
  </si>
  <si>
    <t>4051.00 Hotel Tax</t>
  </si>
  <si>
    <t>4100.00 Real Estate Taxes</t>
  </si>
  <si>
    <t>Total for TAXES</t>
  </si>
  <si>
    <t>TRASH REMOVAL</t>
  </si>
  <si>
    <t>4030.00 Trash User Fees</t>
  </si>
  <si>
    <t>Total for TRASH REMOVAL</t>
  </si>
  <si>
    <t>Transfer from Investments</t>
  </si>
  <si>
    <t>Total Revenue</t>
  </si>
  <si>
    <t>Expenses</t>
  </si>
  <si>
    <t>ADMINISTRATION</t>
  </si>
  <si>
    <t>6315.20 Training/Conference/Assoc. Meetings</t>
  </si>
  <si>
    <t>6700.20 Health Insurance</t>
  </si>
  <si>
    <t>6720.20 Life Insurance</t>
  </si>
  <si>
    <t>6730.20 Payroll Taxes</t>
  </si>
  <si>
    <t>6731.20 State Retirement - Admin</t>
  </si>
  <si>
    <t>6740.20 Salaries - Gen. Govt.</t>
  </si>
  <si>
    <t>6745.20 Overtime - Gen. Govt.</t>
  </si>
  <si>
    <t>6750.20 Workmen's Comp</t>
  </si>
  <si>
    <t>6760.20 Unemployment Ins.</t>
  </si>
  <si>
    <t>6770.20 Disability Insurance</t>
  </si>
  <si>
    <t>6112.20 Uniforms</t>
  </si>
  <si>
    <t>Total for ADMINISTRATION</t>
  </si>
  <si>
    <t>COMMUNITY PROMOTIONS</t>
  </si>
  <si>
    <t>6220.20 Events/Flowers</t>
  </si>
  <si>
    <t>6284.20 Newsletter Postage</t>
  </si>
  <si>
    <t>6286.20 Volunteer Fire Dept. Donation</t>
  </si>
  <si>
    <t>6287.20 80th Anniversary</t>
  </si>
  <si>
    <t>6282.20 Newsletter Paper</t>
  </si>
  <si>
    <t>6283.20 Handbook</t>
  </si>
  <si>
    <t>Total for COMMUNITY PROMOTIONS</t>
  </si>
  <si>
    <t>ELECTIONS</t>
  </si>
  <si>
    <t>6230.20 Election Expenses</t>
  </si>
  <si>
    <t>6240.20 Election Remuneration</t>
  </si>
  <si>
    <t>Total for ELECTIONS</t>
  </si>
  <si>
    <t>GENERAL GOVT. INSURANCE</t>
  </si>
  <si>
    <t>6264.20 Insurance Bond Liability</t>
  </si>
  <si>
    <t>6266.20 Insurance General Liability</t>
  </si>
  <si>
    <t>6267.20 Insurance Physical Damage</t>
  </si>
  <si>
    <t>6268.20 Insurance Vehicle Liability</t>
  </si>
  <si>
    <t>Total for GENERAL GOVT. INSURANCE</t>
  </si>
  <si>
    <t>GENERAL OFFICE</t>
  </si>
  <si>
    <t>6202.20 Computer Hardware</t>
  </si>
  <si>
    <t>6204.20 Computer Software</t>
  </si>
  <si>
    <t>6205.20 IT Services</t>
  </si>
  <si>
    <t>6210.20 Copier Maint. Supplies</t>
  </si>
  <si>
    <t>6212.20 Shorescan</t>
  </si>
  <si>
    <t>6215.20 Employee Appreciation</t>
  </si>
  <si>
    <t>6260.20 Office Supplies</t>
  </si>
  <si>
    <t>6290.20 Postage/Fax</t>
  </si>
  <si>
    <t>6308.20 Publications</t>
  </si>
  <si>
    <t>6345.20 Bank Charges</t>
  </si>
  <si>
    <t>6452.20 Code Enforcement Exp.</t>
  </si>
  <si>
    <t>6200.20 Advertisements</t>
  </si>
  <si>
    <t>6206.20 Computer Supplies</t>
  </si>
  <si>
    <t>6261.20 Office Furniture</t>
  </si>
  <si>
    <t>6350.20 Interest &amp; Penalties</t>
  </si>
  <si>
    <t>Total for GENERAL OFFICE</t>
  </si>
  <si>
    <t>MAYOR &amp; COUNCIL</t>
  </si>
  <si>
    <t>6100.10 Remunerations</t>
  </si>
  <si>
    <t>6110.10 Conferences</t>
  </si>
  <si>
    <t>6219.10 Lunch/Dinner - Association Meetings &amp; Trainings</t>
  </si>
  <si>
    <t>6111.10 Scholarships</t>
  </si>
  <si>
    <t>6112.10 Council Uniforms</t>
  </si>
  <si>
    <t>6220.10 Technology Hardware</t>
  </si>
  <si>
    <t>Total for MAYOR &amp; COUNCIL</t>
  </si>
  <si>
    <t>MISCELLANEOUS GRANTS</t>
  </si>
  <si>
    <t>6228.20 American Rescue Plan Act</t>
  </si>
  <si>
    <t>6100.1 Council Remuneration under ARPA</t>
  </si>
  <si>
    <t>6227.2 Food Gift Card Grant CY24/FY25</t>
  </si>
  <si>
    <t>6229.2 Senior Assistance Grants CY24/FY25</t>
  </si>
  <si>
    <t>6295.2 Auditors Expense under ARPA</t>
  </si>
  <si>
    <t>6400.3 PD Admin Salary under ARPA</t>
  </si>
  <si>
    <t>6410.3 Officer Expenses under ARPA</t>
  </si>
  <si>
    <t>6427.3 Red Light Expenses under ARPA</t>
  </si>
  <si>
    <t>6436.3 Insurance Police Vehicles under ARPA</t>
  </si>
  <si>
    <t>6438.3 Insurance Police Liability under ARPA</t>
  </si>
  <si>
    <t>6455.3 Training Police under ARPA</t>
  </si>
  <si>
    <t>6610.5 Trash Expense under ARPA</t>
  </si>
  <si>
    <t>6700.2 Admin Health Insurance Expense under ARPA</t>
  </si>
  <si>
    <t>6700.3 PD Health Insurance Expense under ARPA</t>
  </si>
  <si>
    <t>6700.4 PW Health Insurance Expense under ARPA</t>
  </si>
  <si>
    <t>6740.2 Admin Salaries Expense under ARPA</t>
  </si>
  <si>
    <t>6740.3 PD Salaries Expense under ARPA</t>
  </si>
  <si>
    <t>6740.4 PW Salary Expense under ARPA</t>
  </si>
  <si>
    <t>6745.2 Admin Overtime Expense under ARPA</t>
  </si>
  <si>
    <t>6745.3 PD Overtime Expense under ARPA</t>
  </si>
  <si>
    <t>6745.4 PW Overtime Expense under ARPA</t>
  </si>
  <si>
    <t>6750.2 Admin Workers Comp Expense under ARPA</t>
  </si>
  <si>
    <t>6750.3 PD Workers Comp Expense under ARPA</t>
  </si>
  <si>
    <t>6750.4 PW Workers Comp Expense under ARPA</t>
  </si>
  <si>
    <t>6770.2 Admin Disability Expense under ARPA</t>
  </si>
  <si>
    <t>6770.3 PD Disability Expense under ARPA</t>
  </si>
  <si>
    <t>6770.4 PW Disability Expense under ARPA</t>
  </si>
  <si>
    <t>Total for 6228.20 American Rescue Plan Act</t>
  </si>
  <si>
    <t>6226.20 Municipal Building Grant Match</t>
  </si>
  <si>
    <t>6320.20 Chesapeake Bay Trust Grant</t>
  </si>
  <si>
    <t>6322.20 Building Facade Grant</t>
  </si>
  <si>
    <t>6541.40 CDBG Expenses</t>
  </si>
  <si>
    <t>Total for MISCELLANEOUS GRANTS</t>
  </si>
  <si>
    <t>MUNICIPAL BUILDING</t>
  </si>
  <si>
    <t>6221.20 C-Net</t>
  </si>
  <si>
    <t>6255.20 Gas</t>
  </si>
  <si>
    <t>6262.20 General Operating Supplies</t>
  </si>
  <si>
    <t>6310.20 Repair/Maintenance</t>
  </si>
  <si>
    <t>6325.20 Telephone</t>
  </si>
  <si>
    <t>6330.20 Electricity</t>
  </si>
  <si>
    <t>6335.20 Water</t>
  </si>
  <si>
    <t>6222.20 C-Net Capital Equipment</t>
  </si>
  <si>
    <t>Total for MUNICIPAL BUILDING</t>
  </si>
  <si>
    <t>POLICE DEPARTMENT</t>
  </si>
  <si>
    <t>6215.30 Employee Appreciation Police</t>
  </si>
  <si>
    <t>6216.30 Employee Assistance Program</t>
  </si>
  <si>
    <t>6400.30 Administrative Salaries</t>
  </si>
  <si>
    <t>6402.30 Automation Fee</t>
  </si>
  <si>
    <t>6406.30 C-Net</t>
  </si>
  <si>
    <t>6410.30 Officer Expenses</t>
  </si>
  <si>
    <t>6415.30 Computer Hardware/Software</t>
  </si>
  <si>
    <t>6420.30 Copier Maintenance/Supplies</t>
  </si>
  <si>
    <t>6425.30 Equipment/Supplies</t>
  </si>
  <si>
    <t>6427.30 Redlight Cameras</t>
  </si>
  <si>
    <t>6428.30 Speed Cameras</t>
  </si>
  <si>
    <t>6430.30 Gasoline</t>
  </si>
  <si>
    <t>6431.30 Security System</t>
  </si>
  <si>
    <t>6433.30 Annual Taser Maintenance</t>
  </si>
  <si>
    <t>6435.30 General Supplies</t>
  </si>
  <si>
    <t>6436.30 Insurance Police Vehicles</t>
  </si>
  <si>
    <t>6438.30 Insurance Police Liability</t>
  </si>
  <si>
    <t>6440.30 Police Legal</t>
  </si>
  <si>
    <t>6443.30 Gym Membership Reimbursement</t>
  </si>
  <si>
    <t>6445.30 Postage</t>
  </si>
  <si>
    <t>6450.30 Telephone</t>
  </si>
  <si>
    <t>6455.30 Training</t>
  </si>
  <si>
    <t>6460.30 Uniforms</t>
  </si>
  <si>
    <t>6465.30 Utilities</t>
  </si>
  <si>
    <t>6475.30 Vehicle Repair/Maintenance</t>
  </si>
  <si>
    <t>6700.30 Health Insurance</t>
  </si>
  <si>
    <t>6720.30 Life Insurance</t>
  </si>
  <si>
    <t>6730.30 Payroll Taxes</t>
  </si>
  <si>
    <t>6731.30 State Retirement Police</t>
  </si>
  <si>
    <t>6740.30 Salaries</t>
  </si>
  <si>
    <t>6745.30 Overtime</t>
  </si>
  <si>
    <t>6746.30 Speed Camera Overtime</t>
  </si>
  <si>
    <t>6750.30 Workmen's Compensation</t>
  </si>
  <si>
    <t>6760.30 Unemployment Insurance</t>
  </si>
  <si>
    <t>6770.30 Disability</t>
  </si>
  <si>
    <t>6218.30 State Required Medical Exams</t>
  </si>
  <si>
    <t>6426.30 Ballistic Vests</t>
  </si>
  <si>
    <t>6434.30 Police Radios</t>
  </si>
  <si>
    <t>6456.30 Conferences</t>
  </si>
  <si>
    <t>Total for POLICE DEPARTMENT</t>
  </si>
  <si>
    <t>PROFESSIONAL SERVICES</t>
  </si>
  <si>
    <t>6014.20 PEG/Website Consultant</t>
  </si>
  <si>
    <t>6270.20 Annual Liab. - Retirement</t>
  </si>
  <si>
    <t>6295.20 Auditors</t>
  </si>
  <si>
    <t>6300.20 Consultants</t>
  </si>
  <si>
    <t>6304.20 Payroll Service</t>
  </si>
  <si>
    <t>6305.20 Legal</t>
  </si>
  <si>
    <t>6303.20 Webpage</t>
  </si>
  <si>
    <t>Total for PROFESSIONAL SERVICES</t>
  </si>
  <si>
    <t>PUBLIC ASSOCIATIONS</t>
  </si>
  <si>
    <t>6272.20 ICMA Membership</t>
  </si>
  <si>
    <t>6273.20 MMA Membership</t>
  </si>
  <si>
    <t>6278.20 MML Membership</t>
  </si>
  <si>
    <t>6280.20 PGCMA Membership</t>
  </si>
  <si>
    <t>6353.20 MML CEZOA Membership</t>
  </si>
  <si>
    <t>6482.30 MMCA Membership</t>
  </si>
  <si>
    <t>6483.30 PGMCA Membership</t>
  </si>
  <si>
    <t>6484.30 MMLPEA Membership</t>
  </si>
  <si>
    <t>6480.30 IACP Membership</t>
  </si>
  <si>
    <t>6503.40 MMPWOA Membership</t>
  </si>
  <si>
    <t>Total for PUBLIC ASSOCIATIONS</t>
  </si>
  <si>
    <t>PUBLIC WORKS</t>
  </si>
  <si>
    <t>6223.20 Veterans Memorial</t>
  </si>
  <si>
    <t>6505.40 Equipment/Tools</t>
  </si>
  <si>
    <t>6512.40 Uniforms</t>
  </si>
  <si>
    <t>6514.40 Grounds Maintenance</t>
  </si>
  <si>
    <t>6515.40 Snow Rem./Equip Repair</t>
  </si>
  <si>
    <t>6516.40 Mosquito Control</t>
  </si>
  <si>
    <t>6520.40 Snow Removal Salaries</t>
  </si>
  <si>
    <t>6525.40 Snow Removal Supplies</t>
  </si>
  <si>
    <t>6530.40 Streets - Electricity</t>
  </si>
  <si>
    <t>6535.40 Streets - Gasoline</t>
  </si>
  <si>
    <t>6545.40 Streets - Signs &amp; Stripes</t>
  </si>
  <si>
    <t>6550.40 Streets - Trees</t>
  </si>
  <si>
    <t>6560.40 Streets - Vehicle Repairs</t>
  </si>
  <si>
    <t>6565.40 Streets - Yard Waste Tipping</t>
  </si>
  <si>
    <t>6700.40 Health Insurance</t>
  </si>
  <si>
    <t>6720.40 Life Insurance</t>
  </si>
  <si>
    <t>6730.40 Payroll Taxes</t>
  </si>
  <si>
    <t>6731.40 State Retirement - PW</t>
  </si>
  <si>
    <t>6740.40 Salaries</t>
  </si>
  <si>
    <t>6745.40 Overtime</t>
  </si>
  <si>
    <t>6750.40 Workmen's Compensation</t>
  </si>
  <si>
    <t>6760.40 Unemployment</t>
  </si>
  <si>
    <t>6770.40 Disability</t>
  </si>
  <si>
    <t>6500.40 Equipment Rental</t>
  </si>
  <si>
    <t>6510.40 Equipment Repair</t>
  </si>
  <si>
    <t>6540.40 Streets - Repair &amp; Maintenance</t>
  </si>
  <si>
    <t>Total for PUBLIC WORKS</t>
  </si>
  <si>
    <t>6610.50 Trash Removal</t>
  </si>
  <si>
    <t>ANNEXATION</t>
  </si>
  <si>
    <t>6355.20 Annexation</t>
  </si>
  <si>
    <t>Total for ANNEXATION</t>
  </si>
  <si>
    <t>Total for Expenses</t>
  </si>
  <si>
    <t>Transfer to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</si>
</sst>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&quot;$&quot;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vertical="top"/>
    </xf>
    <xf numFmtId="0" fontId="3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2" fillId="0" borderId="4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4" fillId="0" borderId="4" xfId="0" applyFont="1" applyBorder="1" applyAlignment="1">
      <alignment vertical="center"/>
    </xf>
    <xf numFmtId="3" fontId="4" fillId="0" borderId="4" xfId="0" applyNumberFormat="1" applyFont="1" applyBorder="1" applyAlignment="1">
      <alignment vertical="center"/>
    </xf>
    <xf numFmtId="164" fontId="0" fillId="0" borderId="0" xfId="0" applyNumberFormat="1"/>
    <xf numFmtId="165" fontId="3" fillId="0" borderId="2" xfId="1" applyNumberFormat="1" applyFont="1" applyBorder="1" applyAlignment="1">
      <alignment vertical="center"/>
    </xf>
    <xf numFmtId="165" fontId="2" fillId="0" borderId="4" xfId="1" applyNumberFormat="1" applyFont="1" applyBorder="1" applyAlignment="1">
      <alignment vertical="top"/>
    </xf>
    <xf numFmtId="165" fontId="4" fillId="0" borderId="4" xfId="1" applyNumberFormat="1" applyFont="1" applyBorder="1" applyAlignment="1">
      <alignment vertical="center"/>
    </xf>
    <xf numFmtId="165" fontId="5" fillId="0" borderId="4" xfId="1" applyNumberFormat="1" applyFont="1" applyBorder="1" applyAlignment="1">
      <alignment vertical="center"/>
    </xf>
    <xf numFmtId="165" fontId="5" fillId="0" borderId="5" xfId="1" applyNumberFormat="1" applyFont="1" applyBorder="1" applyAlignment="1">
      <alignment vertical="center"/>
    </xf>
    <xf numFmtId="165" fontId="0" fillId="0" borderId="0" xfId="1" applyNumberFormat="1" applyFont="1"/>
    <xf numFmtId="0" fontId="4" fillId="0" borderId="6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2" fillId="0" borderId="6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-</v>
    <v>2</v>
    <v>4</v>
    <v>5</v>
  </rv>
</rvData>
</file>

<file path=xl/richData/rdrichvaluestructure.xml><?xml version="1.0" encoding="utf-8"?>
<rvStructures xmlns="http://schemas.microsoft.com/office/spreadsheetml/2017/richdata" count="1">
  <s t="_error">
    <k n="argument" t="s"/>
    <k n="errorType" t="i"/>
    <k n="ptg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87ED0-336F-460D-8206-579D858A7539}">
  <dimension ref="A1:F280"/>
  <sheetViews>
    <sheetView tabSelected="1" topLeftCell="A240" workbookViewId="0">
      <selection activeCell="A206" sqref="A206"/>
    </sheetView>
  </sheetViews>
  <sheetFormatPr defaultRowHeight="14.4" x14ac:dyDescent="0.3"/>
  <cols>
    <col min="1" max="1" width="35" customWidth="1"/>
    <col min="2" max="2" width="25.88671875" customWidth="1"/>
    <col min="3" max="3" width="25.77734375" customWidth="1"/>
    <col min="4" max="4" width="18" style="14" customWidth="1"/>
    <col min="5" max="5" width="12.6640625" bestFit="1" customWidth="1"/>
  </cols>
  <sheetData>
    <row r="1" spans="1:6" ht="16.2" thickBot="1" x14ac:dyDescent="0.35">
      <c r="A1" s="1"/>
      <c r="B1" s="2" t="s">
        <v>0</v>
      </c>
      <c r="C1" s="2" t="s">
        <v>1</v>
      </c>
      <c r="D1" s="9" t="s">
        <v>2</v>
      </c>
    </row>
    <row r="2" spans="1:6" ht="16.2" thickBot="1" x14ac:dyDescent="0.35">
      <c r="A2" s="3" t="s">
        <v>3</v>
      </c>
      <c r="B2" s="4"/>
      <c r="C2" s="4"/>
      <c r="D2" s="10"/>
    </row>
    <row r="3" spans="1:6" ht="15" thickBot="1" x14ac:dyDescent="0.35">
      <c r="A3" s="5"/>
      <c r="B3" s="4"/>
      <c r="C3" s="4"/>
      <c r="D3" s="10"/>
    </row>
    <row r="4" spans="1:6" ht="16.2" thickBot="1" x14ac:dyDescent="0.35">
      <c r="A4" s="3" t="s">
        <v>4</v>
      </c>
      <c r="B4" s="6" t="s">
        <v>5</v>
      </c>
      <c r="C4" s="4"/>
      <c r="D4" s="11" t="s">
        <v>5</v>
      </c>
    </row>
    <row r="5" spans="1:6" ht="16.2" thickBot="1" x14ac:dyDescent="0.35">
      <c r="A5" s="3" t="s">
        <v>6</v>
      </c>
      <c r="B5" s="7">
        <v>2500</v>
      </c>
      <c r="C5" s="4"/>
      <c r="D5" s="12">
        <v>550</v>
      </c>
      <c r="E5" s="19">
        <f>(D5-B5)/B5</f>
        <v>-0.78</v>
      </c>
    </row>
    <row r="6" spans="1:6" ht="16.2" thickBot="1" x14ac:dyDescent="0.35">
      <c r="A6" s="3" t="s">
        <v>7</v>
      </c>
      <c r="B6" s="7">
        <v>1500</v>
      </c>
      <c r="C6" s="4"/>
      <c r="D6" s="12">
        <v>200</v>
      </c>
      <c r="E6" s="19">
        <f t="shared" ref="E6:E69" si="0">(D6-B6)/B6</f>
        <v>-0.8666666666666667</v>
      </c>
    </row>
    <row r="7" spans="1:6" ht="16.2" thickBot="1" x14ac:dyDescent="0.35">
      <c r="A7" s="3" t="s">
        <v>8</v>
      </c>
      <c r="B7" s="6">
        <v>200</v>
      </c>
      <c r="C7" s="4"/>
      <c r="D7" s="12">
        <v>30</v>
      </c>
      <c r="E7" s="19">
        <f t="shared" si="0"/>
        <v>-0.85</v>
      </c>
    </row>
    <row r="8" spans="1:6" ht="16.2" thickBot="1" x14ac:dyDescent="0.35">
      <c r="A8" s="3" t="s">
        <v>9</v>
      </c>
      <c r="B8" s="6">
        <v>700</v>
      </c>
      <c r="C8" s="4"/>
      <c r="D8" s="12">
        <v>40</v>
      </c>
      <c r="E8" s="19">
        <f t="shared" si="0"/>
        <v>-0.94285714285714284</v>
      </c>
    </row>
    <row r="9" spans="1:6" ht="16.2" thickBot="1" x14ac:dyDescent="0.35">
      <c r="A9" s="3" t="s">
        <v>10</v>
      </c>
      <c r="B9" s="7">
        <v>161762</v>
      </c>
      <c r="C9" s="4"/>
      <c r="D9" s="12">
        <v>170525</v>
      </c>
      <c r="E9" s="19">
        <f t="shared" si="0"/>
        <v>5.4172178880083084E-2</v>
      </c>
    </row>
    <row r="10" spans="1:6" ht="16.2" thickBot="1" x14ac:dyDescent="0.35">
      <c r="A10" s="3" t="s">
        <v>11</v>
      </c>
      <c r="B10" s="7">
        <v>243665</v>
      </c>
      <c r="C10" s="4"/>
      <c r="D10" s="12">
        <v>187276</v>
      </c>
      <c r="E10" s="19">
        <f t="shared" si="0"/>
        <v>-0.23142018755258245</v>
      </c>
    </row>
    <row r="11" spans="1:6" ht="16.2" thickBot="1" x14ac:dyDescent="0.35">
      <c r="A11" s="3" t="s">
        <v>12</v>
      </c>
      <c r="B11" s="7">
        <v>410327</v>
      </c>
      <c r="C11" s="4"/>
      <c r="D11" s="12">
        <f>SUM(D5:D10)</f>
        <v>358621</v>
      </c>
      <c r="E11" s="19">
        <f t="shared" si="0"/>
        <v>-0.12601169311305374</v>
      </c>
      <c r="F11" s="8"/>
    </row>
    <row r="12" spans="1:6" ht="15" thickBot="1" x14ac:dyDescent="0.35">
      <c r="A12" s="5"/>
      <c r="B12" s="4"/>
      <c r="C12" s="4"/>
      <c r="D12" s="10"/>
      <c r="E12" s="19" t="e">
        <f t="shared" si="0"/>
        <v>#DIV/0!</v>
      </c>
    </row>
    <row r="13" spans="1:6" ht="16.2" thickBot="1" x14ac:dyDescent="0.35">
      <c r="A13" s="3" t="s">
        <v>13</v>
      </c>
      <c r="B13" s="6" t="s">
        <v>5</v>
      </c>
      <c r="C13" s="4"/>
      <c r="D13" s="11" t="s">
        <v>5</v>
      </c>
      <c r="E13" s="19" t="e" vm="1">
        <f t="shared" si="0"/>
        <v>#VALUE!</v>
      </c>
    </row>
    <row r="14" spans="1:6" ht="16.2" thickBot="1" x14ac:dyDescent="0.35">
      <c r="A14" s="3" t="s">
        <v>14</v>
      </c>
      <c r="B14" s="7">
        <v>10000</v>
      </c>
      <c r="C14" s="4"/>
      <c r="D14" s="11">
        <v>12658</v>
      </c>
      <c r="E14" s="19">
        <f t="shared" si="0"/>
        <v>0.26579999999999998</v>
      </c>
    </row>
    <row r="15" spans="1:6" ht="16.2" thickBot="1" x14ac:dyDescent="0.35">
      <c r="A15" s="3" t="s">
        <v>15</v>
      </c>
      <c r="B15" s="6" t="s">
        <v>5</v>
      </c>
      <c r="C15" s="4"/>
      <c r="D15" s="11">
        <v>215000</v>
      </c>
      <c r="E15" s="19" t="e" vm="1">
        <f t="shared" si="0"/>
        <v>#VALUE!</v>
      </c>
    </row>
    <row r="16" spans="1:6" ht="16.2" thickBot="1" x14ac:dyDescent="0.35">
      <c r="A16" s="3" t="s">
        <v>16</v>
      </c>
      <c r="B16" s="7">
        <v>50000</v>
      </c>
      <c r="C16" s="4"/>
      <c r="D16" s="11">
        <v>50000</v>
      </c>
      <c r="E16" s="19">
        <f t="shared" si="0"/>
        <v>0</v>
      </c>
    </row>
    <row r="17" spans="1:5" ht="16.2" thickBot="1" x14ac:dyDescent="0.35">
      <c r="A17" s="3" t="s">
        <v>17</v>
      </c>
      <c r="B17" s="7">
        <v>90000</v>
      </c>
      <c r="C17" s="4"/>
      <c r="D17" s="11" t="s">
        <v>5</v>
      </c>
      <c r="E17" s="19" t="e" vm="1">
        <f t="shared" si="0"/>
        <v>#VALUE!</v>
      </c>
    </row>
    <row r="18" spans="1:5" ht="16.2" thickBot="1" x14ac:dyDescent="0.35">
      <c r="A18" s="3" t="s">
        <v>18</v>
      </c>
      <c r="B18" s="7">
        <v>920470</v>
      </c>
      <c r="C18" s="4"/>
      <c r="D18" s="11" t="s">
        <v>5</v>
      </c>
      <c r="E18" s="19" t="e" vm="1">
        <f t="shared" si="0"/>
        <v>#VALUE!</v>
      </c>
    </row>
    <row r="19" spans="1:5" ht="16.2" thickBot="1" x14ac:dyDescent="0.35">
      <c r="A19" s="3" t="s">
        <v>19</v>
      </c>
      <c r="B19" s="7">
        <v>1070470</v>
      </c>
      <c r="C19" s="4"/>
      <c r="D19" s="11">
        <v>277658</v>
      </c>
      <c r="E19" s="19">
        <f t="shared" si="0"/>
        <v>-0.7406204751184059</v>
      </c>
    </row>
    <row r="20" spans="1:5" ht="15" thickBot="1" x14ac:dyDescent="0.35">
      <c r="A20" s="5"/>
      <c r="B20" s="4"/>
      <c r="C20" s="4"/>
      <c r="D20" s="10"/>
      <c r="E20" s="19" t="e">
        <f t="shared" si="0"/>
        <v>#DIV/0!</v>
      </c>
    </row>
    <row r="21" spans="1:5" ht="16.2" thickBot="1" x14ac:dyDescent="0.35">
      <c r="A21" s="3" t="s">
        <v>20</v>
      </c>
      <c r="B21" s="6" t="s">
        <v>5</v>
      </c>
      <c r="C21" s="4"/>
      <c r="D21" s="11" t="s">
        <v>5</v>
      </c>
      <c r="E21" s="19" t="e" vm="1">
        <f t="shared" si="0"/>
        <v>#VALUE!</v>
      </c>
    </row>
    <row r="22" spans="1:5" ht="16.2" thickBot="1" x14ac:dyDescent="0.35">
      <c r="A22" s="3" t="s">
        <v>21</v>
      </c>
      <c r="B22" s="7">
        <v>1500</v>
      </c>
      <c r="C22" s="4"/>
      <c r="D22" s="11">
        <v>935</v>
      </c>
      <c r="E22" s="19">
        <f t="shared" si="0"/>
        <v>-0.37666666666666665</v>
      </c>
    </row>
    <row r="23" spans="1:5" ht="16.2" thickBot="1" x14ac:dyDescent="0.35">
      <c r="A23" s="3" t="s">
        <v>22</v>
      </c>
      <c r="B23" s="7">
        <v>1000</v>
      </c>
      <c r="C23" s="4"/>
      <c r="D23" s="11">
        <v>1600</v>
      </c>
      <c r="E23" s="19">
        <f t="shared" si="0"/>
        <v>0.6</v>
      </c>
    </row>
    <row r="24" spans="1:5" ht="16.2" thickBot="1" x14ac:dyDescent="0.35">
      <c r="A24" s="3" t="s">
        <v>23</v>
      </c>
      <c r="B24" s="7">
        <v>8600</v>
      </c>
      <c r="C24" s="4"/>
      <c r="D24" s="11">
        <v>6629</v>
      </c>
      <c r="E24" s="19">
        <f t="shared" si="0"/>
        <v>-0.22918604651162791</v>
      </c>
    </row>
    <row r="25" spans="1:5" ht="16.2" thickBot="1" x14ac:dyDescent="0.35">
      <c r="A25" s="3" t="s">
        <v>24</v>
      </c>
      <c r="B25" s="7">
        <v>1000</v>
      </c>
      <c r="C25" s="4"/>
      <c r="D25" s="11">
        <v>50</v>
      </c>
      <c r="E25" s="19">
        <f t="shared" si="0"/>
        <v>-0.95</v>
      </c>
    </row>
    <row r="26" spans="1:5" ht="16.2" thickBot="1" x14ac:dyDescent="0.35">
      <c r="A26" s="3" t="s">
        <v>25</v>
      </c>
      <c r="B26" s="7">
        <v>10300</v>
      </c>
      <c r="C26" s="4"/>
      <c r="D26" s="11">
        <v>6242</v>
      </c>
      <c r="E26" s="19">
        <f t="shared" si="0"/>
        <v>-0.39398058252427187</v>
      </c>
    </row>
    <row r="27" spans="1:5" ht="16.2" thickBot="1" x14ac:dyDescent="0.35">
      <c r="A27" s="3" t="s">
        <v>26</v>
      </c>
      <c r="B27" s="7">
        <v>15800</v>
      </c>
      <c r="C27" s="4"/>
      <c r="D27" s="11">
        <v>7771</v>
      </c>
      <c r="E27" s="19">
        <f t="shared" si="0"/>
        <v>-0.50816455696202534</v>
      </c>
    </row>
    <row r="28" spans="1:5" ht="16.2" thickBot="1" x14ac:dyDescent="0.35">
      <c r="A28" s="3" t="s">
        <v>27</v>
      </c>
      <c r="B28" s="7">
        <v>4000</v>
      </c>
      <c r="C28" s="4"/>
      <c r="D28" s="11">
        <v>901</v>
      </c>
      <c r="E28" s="19">
        <f t="shared" si="0"/>
        <v>-0.77475000000000005</v>
      </c>
    </row>
    <row r="29" spans="1:5" ht="16.2" thickBot="1" x14ac:dyDescent="0.35">
      <c r="A29" s="3" t="s">
        <v>28</v>
      </c>
      <c r="B29" s="7">
        <v>42200</v>
      </c>
      <c r="C29" s="4"/>
      <c r="D29" s="11">
        <f>SUM(D22:D28)</f>
        <v>24128</v>
      </c>
      <c r="E29" s="19">
        <f t="shared" si="0"/>
        <v>-0.42824644549763036</v>
      </c>
    </row>
    <row r="30" spans="1:5" ht="15" thickBot="1" x14ac:dyDescent="0.35">
      <c r="A30" s="5"/>
      <c r="B30" s="4"/>
      <c r="C30" s="4"/>
      <c r="D30" s="10"/>
      <c r="E30" s="19" t="e">
        <f t="shared" si="0"/>
        <v>#DIV/0!</v>
      </c>
    </row>
    <row r="31" spans="1:5" ht="16.2" thickBot="1" x14ac:dyDescent="0.35">
      <c r="A31" s="3" t="s">
        <v>29</v>
      </c>
      <c r="B31" s="6" t="s">
        <v>5</v>
      </c>
      <c r="C31" s="4"/>
      <c r="D31" s="11" t="s">
        <v>5</v>
      </c>
      <c r="E31" s="19" t="e" vm="1">
        <f t="shared" si="0"/>
        <v>#VALUE!</v>
      </c>
    </row>
    <row r="32" spans="1:5" ht="16.2" thickBot="1" x14ac:dyDescent="0.35">
      <c r="A32" s="3" t="s">
        <v>30</v>
      </c>
      <c r="B32" s="7">
        <v>201581</v>
      </c>
      <c r="C32" s="4"/>
      <c r="D32" s="12">
        <v>316715</v>
      </c>
      <c r="E32" s="19">
        <f t="shared" si="0"/>
        <v>0.5711550195702968</v>
      </c>
    </row>
    <row r="33" spans="1:5" ht="16.2" thickBot="1" x14ac:dyDescent="0.35">
      <c r="A33" s="3" t="s">
        <v>31</v>
      </c>
      <c r="B33" s="7">
        <v>2000</v>
      </c>
      <c r="C33" s="4"/>
      <c r="D33" s="11">
        <v>450</v>
      </c>
      <c r="E33" s="19">
        <f t="shared" si="0"/>
        <v>-0.77500000000000002</v>
      </c>
    </row>
    <row r="34" spans="1:5" ht="16.2" thickBot="1" x14ac:dyDescent="0.35">
      <c r="A34" s="3" t="s">
        <v>32</v>
      </c>
      <c r="B34" s="7">
        <v>4000</v>
      </c>
      <c r="C34" s="4"/>
      <c r="D34" s="11">
        <v>9331</v>
      </c>
      <c r="E34" s="19">
        <f t="shared" si="0"/>
        <v>1.3327500000000001</v>
      </c>
    </row>
    <row r="35" spans="1:5" ht="16.2" thickBot="1" x14ac:dyDescent="0.35">
      <c r="A35" s="3" t="s">
        <v>33</v>
      </c>
      <c r="B35" s="6">
        <v>100</v>
      </c>
      <c r="C35" s="4"/>
      <c r="D35" s="11" t="s">
        <v>5</v>
      </c>
      <c r="E35" s="19" t="e" vm="1">
        <f t="shared" si="0"/>
        <v>#VALUE!</v>
      </c>
    </row>
    <row r="36" spans="1:5" ht="16.2" thickBot="1" x14ac:dyDescent="0.35">
      <c r="A36" s="3" t="s">
        <v>34</v>
      </c>
      <c r="B36" s="6">
        <v>250</v>
      </c>
      <c r="C36" s="4"/>
      <c r="D36" s="11" t="s">
        <v>5</v>
      </c>
      <c r="E36" s="19" t="e" vm="1">
        <f t="shared" si="0"/>
        <v>#VALUE!</v>
      </c>
    </row>
    <row r="37" spans="1:5" ht="16.2" thickBot="1" x14ac:dyDescent="0.35">
      <c r="A37" s="3" t="s">
        <v>35</v>
      </c>
      <c r="B37" s="7">
        <v>5644</v>
      </c>
      <c r="C37" s="4"/>
      <c r="D37" s="11" t="s">
        <v>5</v>
      </c>
      <c r="E37" s="19" t="e" vm="1">
        <f t="shared" si="0"/>
        <v>#VALUE!</v>
      </c>
    </row>
    <row r="38" spans="1:5" ht="16.2" thickBot="1" x14ac:dyDescent="0.35">
      <c r="A38" s="3" t="s">
        <v>36</v>
      </c>
      <c r="B38" s="6">
        <v>200</v>
      </c>
      <c r="C38" s="4"/>
      <c r="D38" s="11" t="s">
        <v>5</v>
      </c>
      <c r="E38" s="19" t="e" vm="1">
        <f t="shared" si="0"/>
        <v>#VALUE!</v>
      </c>
    </row>
    <row r="39" spans="1:5" ht="16.2" thickBot="1" x14ac:dyDescent="0.35">
      <c r="A39" s="3" t="s">
        <v>37</v>
      </c>
      <c r="B39" s="6">
        <v>500</v>
      </c>
      <c r="C39" s="4"/>
      <c r="D39" s="11" t="s">
        <v>5</v>
      </c>
      <c r="E39" s="19" t="e" vm="1">
        <f t="shared" si="0"/>
        <v>#VALUE!</v>
      </c>
    </row>
    <row r="40" spans="1:5" ht="16.2" thickBot="1" x14ac:dyDescent="0.35">
      <c r="A40" s="3" t="s">
        <v>38</v>
      </c>
      <c r="B40" s="6">
        <v>350</v>
      </c>
      <c r="C40" s="4"/>
      <c r="D40" s="11" t="s">
        <v>5</v>
      </c>
      <c r="E40" s="19" t="e" vm="1">
        <f t="shared" si="0"/>
        <v>#VALUE!</v>
      </c>
    </row>
    <row r="41" spans="1:5" ht="16.2" thickBot="1" x14ac:dyDescent="0.35">
      <c r="A41" s="3" t="s">
        <v>39</v>
      </c>
      <c r="B41" s="7">
        <v>214625</v>
      </c>
      <c r="C41" s="4"/>
      <c r="D41" s="12">
        <f>SUM(D32:D34)</f>
        <v>326496</v>
      </c>
      <c r="E41" s="19">
        <f t="shared" si="0"/>
        <v>0.5212393709959231</v>
      </c>
    </row>
    <row r="42" spans="1:5" ht="15" thickBot="1" x14ac:dyDescent="0.35">
      <c r="A42" s="5"/>
      <c r="B42" s="4"/>
      <c r="C42" s="4"/>
      <c r="D42" s="10"/>
      <c r="E42" s="19" t="e">
        <f t="shared" si="0"/>
        <v>#DIV/0!</v>
      </c>
    </row>
    <row r="43" spans="1:5" ht="16.2" thickBot="1" x14ac:dyDescent="0.35">
      <c r="A43" s="3" t="s">
        <v>40</v>
      </c>
      <c r="B43" s="6" t="s">
        <v>5</v>
      </c>
      <c r="C43" s="4"/>
      <c r="D43" s="11" t="s">
        <v>5</v>
      </c>
      <c r="E43" s="19" t="e" vm="1">
        <f t="shared" si="0"/>
        <v>#VALUE!</v>
      </c>
    </row>
    <row r="44" spans="1:5" ht="16.2" thickBot="1" x14ac:dyDescent="0.35">
      <c r="A44" s="3" t="s">
        <v>41</v>
      </c>
      <c r="B44" s="7">
        <v>64912</v>
      </c>
      <c r="C44" s="4"/>
      <c r="D44" s="11">
        <v>55200</v>
      </c>
      <c r="E44" s="19">
        <f t="shared" si="0"/>
        <v>-0.14961794429381317</v>
      </c>
    </row>
    <row r="45" spans="1:5" ht="16.2" thickBot="1" x14ac:dyDescent="0.35">
      <c r="A45" s="3" t="s">
        <v>42</v>
      </c>
      <c r="B45" s="7">
        <v>2500</v>
      </c>
      <c r="C45" s="4"/>
      <c r="D45" s="11" t="s">
        <v>5</v>
      </c>
      <c r="E45" s="19" t="e" vm="1">
        <f t="shared" si="0"/>
        <v>#VALUE!</v>
      </c>
    </row>
    <row r="46" spans="1:5" ht="16.2" thickBot="1" x14ac:dyDescent="0.35">
      <c r="A46" s="3" t="s">
        <v>43</v>
      </c>
      <c r="B46" s="7">
        <v>18000</v>
      </c>
      <c r="C46" s="4"/>
      <c r="D46" s="11" t="s">
        <v>5</v>
      </c>
      <c r="E46" s="19" t="e" vm="1">
        <f t="shared" si="0"/>
        <v>#VALUE!</v>
      </c>
    </row>
    <row r="47" spans="1:5" ht="16.2" thickBot="1" x14ac:dyDescent="0.35">
      <c r="A47" s="3" t="s">
        <v>44</v>
      </c>
      <c r="B47" s="7">
        <v>85412</v>
      </c>
      <c r="C47" s="4"/>
      <c r="D47" s="11">
        <v>55200</v>
      </c>
      <c r="E47" s="19">
        <f t="shared" si="0"/>
        <v>-0.35372078864796513</v>
      </c>
    </row>
    <row r="48" spans="1:5" ht="15" thickBot="1" x14ac:dyDescent="0.35">
      <c r="A48" s="5"/>
      <c r="B48" s="4"/>
      <c r="C48" s="4"/>
      <c r="D48" s="10"/>
      <c r="E48" s="19" t="e">
        <f t="shared" si="0"/>
        <v>#DIV/0!</v>
      </c>
    </row>
    <row r="49" spans="1:5" ht="16.2" thickBot="1" x14ac:dyDescent="0.35">
      <c r="A49" s="3" t="s">
        <v>45</v>
      </c>
      <c r="B49" s="6" t="s">
        <v>5</v>
      </c>
      <c r="C49" s="4"/>
      <c r="D49" s="11" t="s">
        <v>5</v>
      </c>
      <c r="E49" s="19" t="e" vm="1">
        <f t="shared" si="0"/>
        <v>#VALUE!</v>
      </c>
    </row>
    <row r="50" spans="1:5" ht="16.2" thickBot="1" x14ac:dyDescent="0.35">
      <c r="A50" s="3" t="s">
        <v>46</v>
      </c>
      <c r="B50" s="7">
        <v>60000</v>
      </c>
      <c r="C50" s="4"/>
      <c r="D50" s="12">
        <v>33896</v>
      </c>
      <c r="E50" s="19">
        <f t="shared" si="0"/>
        <v>-0.43506666666666666</v>
      </c>
    </row>
    <row r="51" spans="1:5" ht="16.2" thickBot="1" x14ac:dyDescent="0.35">
      <c r="A51" s="3" t="s">
        <v>47</v>
      </c>
      <c r="B51" s="7">
        <v>27000</v>
      </c>
      <c r="C51" s="4"/>
      <c r="D51" s="12">
        <v>28861</v>
      </c>
      <c r="E51" s="19">
        <f t="shared" si="0"/>
        <v>6.8925925925925932E-2</v>
      </c>
    </row>
    <row r="52" spans="1:5" ht="16.2" thickBot="1" x14ac:dyDescent="0.35">
      <c r="A52" s="3" t="s">
        <v>48</v>
      </c>
      <c r="B52" s="7">
        <v>230000</v>
      </c>
      <c r="C52" s="4"/>
      <c r="D52" s="12">
        <v>214955</v>
      </c>
      <c r="E52" s="19">
        <f t="shared" si="0"/>
        <v>-6.5413043478260866E-2</v>
      </c>
    </row>
    <row r="53" spans="1:5" ht="16.2" thickBot="1" x14ac:dyDescent="0.35">
      <c r="A53" s="3" t="s">
        <v>49</v>
      </c>
      <c r="B53" s="6">
        <v>200</v>
      </c>
      <c r="C53" s="4"/>
      <c r="D53" s="12">
        <v>500</v>
      </c>
      <c r="E53" s="19">
        <f t="shared" si="0"/>
        <v>1.5</v>
      </c>
    </row>
    <row r="54" spans="1:5" ht="16.2" thickBot="1" x14ac:dyDescent="0.35">
      <c r="A54" s="3" t="s">
        <v>50</v>
      </c>
      <c r="B54" s="7">
        <v>89000</v>
      </c>
      <c r="C54" s="4"/>
      <c r="D54" s="12">
        <v>91902</v>
      </c>
      <c r="E54" s="19">
        <f t="shared" si="0"/>
        <v>3.2606741573033705E-2</v>
      </c>
    </row>
    <row r="55" spans="1:5" ht="16.2" thickBot="1" x14ac:dyDescent="0.35">
      <c r="A55" s="3" t="s">
        <v>51</v>
      </c>
      <c r="B55" s="7">
        <v>65000</v>
      </c>
      <c r="C55" s="4"/>
      <c r="D55" s="12">
        <v>71695</v>
      </c>
      <c r="E55" s="19">
        <f t="shared" si="0"/>
        <v>0.10299999999999999</v>
      </c>
    </row>
    <row r="56" spans="1:5" ht="16.2" thickBot="1" x14ac:dyDescent="0.35">
      <c r="A56" s="3" t="s">
        <v>52</v>
      </c>
      <c r="B56" s="7">
        <v>1010000</v>
      </c>
      <c r="C56" s="4"/>
      <c r="D56" s="12">
        <v>1110224</v>
      </c>
      <c r="E56" s="19">
        <f t="shared" si="0"/>
        <v>9.9231683168316834E-2</v>
      </c>
    </row>
    <row r="57" spans="1:5" ht="16.2" thickBot="1" x14ac:dyDescent="0.35">
      <c r="A57" s="3" t="s">
        <v>53</v>
      </c>
      <c r="B57" s="7">
        <v>1481200</v>
      </c>
      <c r="C57" s="4"/>
      <c r="D57" s="12">
        <f>SUM(D50:D56)</f>
        <v>1552033</v>
      </c>
      <c r="E57" s="19">
        <f t="shared" si="0"/>
        <v>4.7821361058601138E-2</v>
      </c>
    </row>
    <row r="58" spans="1:5" ht="15" thickBot="1" x14ac:dyDescent="0.35">
      <c r="A58" s="5"/>
      <c r="B58" s="4"/>
      <c r="C58" s="4"/>
      <c r="D58" s="10"/>
      <c r="E58" s="19" t="e">
        <f t="shared" si="0"/>
        <v>#DIV/0!</v>
      </c>
    </row>
    <row r="59" spans="1:5" ht="16.2" thickBot="1" x14ac:dyDescent="0.35">
      <c r="A59" s="3" t="s">
        <v>54</v>
      </c>
      <c r="B59" s="6" t="s">
        <v>5</v>
      </c>
      <c r="C59" s="4"/>
      <c r="D59" s="11" t="s">
        <v>5</v>
      </c>
      <c r="E59" s="19" t="e" vm="1">
        <f t="shared" si="0"/>
        <v>#VALUE!</v>
      </c>
    </row>
    <row r="60" spans="1:5" ht="16.2" thickBot="1" x14ac:dyDescent="0.35">
      <c r="A60" s="3" t="s">
        <v>55</v>
      </c>
      <c r="B60" s="7">
        <v>142800</v>
      </c>
      <c r="C60" s="4"/>
      <c r="D60" s="11">
        <v>142800</v>
      </c>
      <c r="E60" s="19">
        <f t="shared" si="0"/>
        <v>0</v>
      </c>
    </row>
    <row r="61" spans="1:5" ht="16.2" thickBot="1" x14ac:dyDescent="0.35">
      <c r="A61" s="3" t="s">
        <v>56</v>
      </c>
      <c r="B61" s="7">
        <v>142800</v>
      </c>
      <c r="C61" s="4"/>
      <c r="D61" s="11">
        <v>142800</v>
      </c>
      <c r="E61" s="19">
        <f t="shared" si="0"/>
        <v>0</v>
      </c>
    </row>
    <row r="62" spans="1:5" ht="15" thickBot="1" x14ac:dyDescent="0.35">
      <c r="A62" s="5"/>
      <c r="B62" s="4"/>
      <c r="C62" s="4"/>
      <c r="D62" s="10"/>
      <c r="E62" s="19" t="e">
        <f t="shared" si="0"/>
        <v>#DIV/0!</v>
      </c>
    </row>
    <row r="63" spans="1:5" ht="16.2" thickBot="1" x14ac:dyDescent="0.35">
      <c r="A63" s="3" t="s">
        <v>57</v>
      </c>
      <c r="B63" s="4"/>
      <c r="C63" s="7">
        <v>250000</v>
      </c>
      <c r="D63" s="11" t="s">
        <v>5</v>
      </c>
      <c r="E63" s="19" t="e" vm="1">
        <f t="shared" si="0"/>
        <v>#VALUE!</v>
      </c>
    </row>
    <row r="64" spans="1:5" ht="15" thickBot="1" x14ac:dyDescent="0.35">
      <c r="A64" s="5"/>
      <c r="B64" s="4"/>
      <c r="C64" s="4"/>
      <c r="D64" s="10"/>
      <c r="E64" s="19" t="e">
        <f t="shared" si="0"/>
        <v>#DIV/0!</v>
      </c>
    </row>
    <row r="65" spans="1:5" ht="16.2" thickBot="1" x14ac:dyDescent="0.35">
      <c r="A65" s="3" t="s">
        <v>58</v>
      </c>
      <c r="B65" s="7">
        <v>3447034</v>
      </c>
      <c r="C65" s="7">
        <v>3697034</v>
      </c>
      <c r="D65" s="12">
        <f>D61+D57+D47+D41+D29+D19+D11</f>
        <v>2736936</v>
      </c>
      <c r="E65" s="19">
        <f t="shared" si="0"/>
        <v>-0.20600260977988613</v>
      </c>
    </row>
    <row r="66" spans="1:5" ht="15" thickBot="1" x14ac:dyDescent="0.35">
      <c r="A66" s="5"/>
      <c r="B66" s="4"/>
      <c r="C66" s="4"/>
      <c r="D66" s="10"/>
      <c r="E66" s="19" t="e">
        <f t="shared" si="0"/>
        <v>#DIV/0!</v>
      </c>
    </row>
    <row r="67" spans="1:5" ht="16.2" thickBot="1" x14ac:dyDescent="0.35">
      <c r="A67" s="3" t="s">
        <v>59</v>
      </c>
      <c r="B67" s="4"/>
      <c r="C67" s="4"/>
      <c r="D67" s="10"/>
      <c r="E67" s="19" t="e">
        <f t="shared" si="0"/>
        <v>#DIV/0!</v>
      </c>
    </row>
    <row r="68" spans="1:5" ht="16.2" thickBot="1" x14ac:dyDescent="0.35">
      <c r="A68" s="3" t="s">
        <v>60</v>
      </c>
      <c r="B68" s="6" t="s">
        <v>5</v>
      </c>
      <c r="C68" s="4"/>
      <c r="D68" s="11" t="s">
        <v>5</v>
      </c>
      <c r="E68" s="19" t="e" vm="1">
        <f t="shared" si="0"/>
        <v>#VALUE!</v>
      </c>
    </row>
    <row r="69" spans="1:5" ht="16.2" thickBot="1" x14ac:dyDescent="0.35">
      <c r="A69" s="3" t="s">
        <v>61</v>
      </c>
      <c r="B69" s="7">
        <v>5000</v>
      </c>
      <c r="C69" s="4"/>
      <c r="D69" s="12">
        <v>4052</v>
      </c>
      <c r="E69" s="19">
        <f t="shared" si="0"/>
        <v>-0.18959999999999999</v>
      </c>
    </row>
    <row r="70" spans="1:5" ht="16.2" thickBot="1" x14ac:dyDescent="0.35">
      <c r="A70" s="3" t="s">
        <v>62</v>
      </c>
      <c r="B70" s="7">
        <v>63415</v>
      </c>
      <c r="C70" s="4"/>
      <c r="D70" s="12">
        <v>69767</v>
      </c>
      <c r="E70" s="19">
        <f t="shared" ref="E70:E133" si="1">(D70-B70)/B70</f>
        <v>0.10016557596783096</v>
      </c>
    </row>
    <row r="71" spans="1:5" ht="16.2" thickBot="1" x14ac:dyDescent="0.35">
      <c r="A71" s="3" t="s">
        <v>63</v>
      </c>
      <c r="B71" s="7">
        <v>1500</v>
      </c>
      <c r="C71" s="4"/>
      <c r="D71" s="12">
        <v>1783</v>
      </c>
      <c r="E71" s="19">
        <f t="shared" si="1"/>
        <v>0.18866666666666668</v>
      </c>
    </row>
    <row r="72" spans="1:5" ht="16.2" thickBot="1" x14ac:dyDescent="0.35">
      <c r="A72" s="3" t="s">
        <v>64</v>
      </c>
      <c r="B72" s="7">
        <v>24196</v>
      </c>
      <c r="C72" s="4"/>
      <c r="D72" s="12">
        <v>21060</v>
      </c>
      <c r="E72" s="19">
        <f t="shared" si="1"/>
        <v>-0.12960819970243015</v>
      </c>
    </row>
    <row r="73" spans="1:5" ht="16.2" thickBot="1" x14ac:dyDescent="0.35">
      <c r="A73" s="3" t="s">
        <v>65</v>
      </c>
      <c r="B73" s="7">
        <v>24196</v>
      </c>
      <c r="C73" s="4"/>
      <c r="D73" s="12">
        <v>23910</v>
      </c>
      <c r="E73" s="19">
        <f t="shared" si="1"/>
        <v>-1.1820135559596627E-2</v>
      </c>
    </row>
    <row r="74" spans="1:5" ht="16.2" thickBot="1" x14ac:dyDescent="0.35">
      <c r="A74" s="3" t="s">
        <v>66</v>
      </c>
      <c r="B74" s="7">
        <v>275110</v>
      </c>
      <c r="C74" s="4"/>
      <c r="D74" s="12">
        <v>121633</v>
      </c>
      <c r="E74" s="19">
        <f t="shared" si="1"/>
        <v>-0.55787503180545961</v>
      </c>
    </row>
    <row r="75" spans="1:5" ht="16.2" thickBot="1" x14ac:dyDescent="0.35">
      <c r="A75" s="3" t="s">
        <v>67</v>
      </c>
      <c r="B75" s="7">
        <v>5000</v>
      </c>
      <c r="C75" s="4"/>
      <c r="D75" s="12">
        <v>3279</v>
      </c>
      <c r="E75" s="19">
        <f t="shared" si="1"/>
        <v>-0.34420000000000001</v>
      </c>
    </row>
    <row r="76" spans="1:5" ht="16.2" thickBot="1" x14ac:dyDescent="0.35">
      <c r="A76" s="3" t="s">
        <v>68</v>
      </c>
      <c r="B76" s="7">
        <v>1120</v>
      </c>
      <c r="C76" s="4"/>
      <c r="D76" s="12">
        <v>205</v>
      </c>
      <c r="E76" s="19">
        <f t="shared" si="1"/>
        <v>-0.8169642857142857</v>
      </c>
    </row>
    <row r="77" spans="1:5" ht="16.2" thickBot="1" x14ac:dyDescent="0.35">
      <c r="A77" s="3" t="s">
        <v>69</v>
      </c>
      <c r="B77" s="7">
        <v>2100</v>
      </c>
      <c r="C77" s="4"/>
      <c r="D77" s="12">
        <v>1692</v>
      </c>
      <c r="E77" s="19">
        <f t="shared" si="1"/>
        <v>-0.19428571428571428</v>
      </c>
    </row>
    <row r="78" spans="1:5" ht="16.2" thickBot="1" x14ac:dyDescent="0.35">
      <c r="A78" s="3" t="s">
        <v>70</v>
      </c>
      <c r="B78" s="7">
        <v>2600</v>
      </c>
      <c r="C78" s="4"/>
      <c r="D78" s="11">
        <v>1372</v>
      </c>
      <c r="E78" s="19">
        <f t="shared" si="1"/>
        <v>-0.47230769230769232</v>
      </c>
    </row>
    <row r="79" spans="1:5" ht="16.2" thickBot="1" x14ac:dyDescent="0.35">
      <c r="A79" s="3" t="s">
        <v>71</v>
      </c>
      <c r="B79" s="6">
        <v>700</v>
      </c>
      <c r="C79" s="4"/>
      <c r="D79" s="11" t="s">
        <v>5</v>
      </c>
      <c r="E79" s="19" t="e" vm="1">
        <f t="shared" si="1"/>
        <v>#VALUE!</v>
      </c>
    </row>
    <row r="80" spans="1:5" ht="16.2" thickBot="1" x14ac:dyDescent="0.35">
      <c r="A80" s="3" t="s">
        <v>72</v>
      </c>
      <c r="B80" s="7">
        <v>404937</v>
      </c>
      <c r="C80" s="4"/>
      <c r="D80" s="12">
        <v>248753</v>
      </c>
      <c r="E80" s="19">
        <f t="shared" si="1"/>
        <v>-0.38569950387344204</v>
      </c>
    </row>
    <row r="81" spans="1:5" ht="15" thickBot="1" x14ac:dyDescent="0.35">
      <c r="A81" s="5"/>
      <c r="B81" s="4"/>
      <c r="C81" s="4"/>
      <c r="D81" s="10"/>
      <c r="E81" s="19" t="e">
        <f t="shared" si="1"/>
        <v>#DIV/0!</v>
      </c>
    </row>
    <row r="82" spans="1:5" ht="16.2" thickBot="1" x14ac:dyDescent="0.35">
      <c r="A82" s="3" t="s">
        <v>73</v>
      </c>
      <c r="B82" s="6" t="s">
        <v>5</v>
      </c>
      <c r="C82" s="4"/>
      <c r="D82" s="11" t="s">
        <v>5</v>
      </c>
      <c r="E82" s="19" t="e" vm="1">
        <f t="shared" si="1"/>
        <v>#VALUE!</v>
      </c>
    </row>
    <row r="83" spans="1:5" ht="16.2" thickBot="1" x14ac:dyDescent="0.35">
      <c r="A83" s="3" t="s">
        <v>74</v>
      </c>
      <c r="B83" s="7">
        <v>5000</v>
      </c>
      <c r="C83" s="4"/>
      <c r="D83" s="12">
        <v>4987</v>
      </c>
      <c r="E83" s="19">
        <f t="shared" si="1"/>
        <v>-2.5999999999999999E-3</v>
      </c>
    </row>
    <row r="84" spans="1:5" ht="16.2" thickBot="1" x14ac:dyDescent="0.35">
      <c r="A84" s="3" t="s">
        <v>75</v>
      </c>
      <c r="B84" s="7">
        <v>1350</v>
      </c>
      <c r="C84" s="4"/>
      <c r="D84" s="11">
        <v>1000</v>
      </c>
      <c r="E84" s="19">
        <f t="shared" si="1"/>
        <v>-0.25925925925925924</v>
      </c>
    </row>
    <row r="85" spans="1:5" ht="16.2" thickBot="1" x14ac:dyDescent="0.35">
      <c r="A85" s="3" t="s">
        <v>76</v>
      </c>
      <c r="B85" s="7">
        <v>10000</v>
      </c>
      <c r="C85" s="4"/>
      <c r="D85" s="11">
        <v>10000</v>
      </c>
      <c r="E85" s="19">
        <f t="shared" si="1"/>
        <v>0</v>
      </c>
    </row>
    <row r="86" spans="1:5" ht="16.2" thickBot="1" x14ac:dyDescent="0.35">
      <c r="A86" s="3" t="s">
        <v>77</v>
      </c>
      <c r="B86" s="6" t="s">
        <v>5</v>
      </c>
      <c r="C86" s="4"/>
      <c r="D86" s="11">
        <v>2435</v>
      </c>
      <c r="E86" s="19" t="e" vm="1">
        <f t="shared" si="1"/>
        <v>#VALUE!</v>
      </c>
    </row>
    <row r="87" spans="1:5" ht="16.2" thickBot="1" x14ac:dyDescent="0.35">
      <c r="A87" s="3" t="s">
        <v>78</v>
      </c>
      <c r="B87" s="6">
        <v>285</v>
      </c>
      <c r="C87" s="4"/>
      <c r="D87" s="11" t="s">
        <v>5</v>
      </c>
      <c r="E87" s="19" t="e" vm="1">
        <f t="shared" si="1"/>
        <v>#VALUE!</v>
      </c>
    </row>
    <row r="88" spans="1:5" ht="16.2" thickBot="1" x14ac:dyDescent="0.35">
      <c r="A88" s="3" t="s">
        <v>79</v>
      </c>
      <c r="B88" s="7">
        <v>1500</v>
      </c>
      <c r="C88" s="4"/>
      <c r="D88" s="11" t="s">
        <v>5</v>
      </c>
      <c r="E88" s="19" t="e" vm="1">
        <f t="shared" si="1"/>
        <v>#VALUE!</v>
      </c>
    </row>
    <row r="89" spans="1:5" ht="16.2" thickBot="1" x14ac:dyDescent="0.35">
      <c r="A89" s="3" t="s">
        <v>80</v>
      </c>
      <c r="B89" s="7">
        <v>18135</v>
      </c>
      <c r="C89" s="4"/>
      <c r="D89" s="12">
        <v>18422</v>
      </c>
      <c r="E89" s="19">
        <f t="shared" si="1"/>
        <v>1.5825751309622278E-2</v>
      </c>
    </row>
    <row r="90" spans="1:5" ht="15" thickBot="1" x14ac:dyDescent="0.35">
      <c r="A90" s="5"/>
      <c r="B90" s="4"/>
      <c r="C90" s="4"/>
      <c r="D90" s="10"/>
      <c r="E90" s="19" t="e">
        <f t="shared" si="1"/>
        <v>#DIV/0!</v>
      </c>
    </row>
    <row r="91" spans="1:5" ht="16.2" thickBot="1" x14ac:dyDescent="0.35">
      <c r="A91" s="3" t="s">
        <v>81</v>
      </c>
      <c r="B91" s="6" t="s">
        <v>5</v>
      </c>
      <c r="C91" s="4"/>
      <c r="D91" s="11" t="s">
        <v>5</v>
      </c>
      <c r="E91" s="19" t="e" vm="1">
        <f t="shared" si="1"/>
        <v>#VALUE!</v>
      </c>
    </row>
    <row r="92" spans="1:5" ht="16.2" thickBot="1" x14ac:dyDescent="0.35">
      <c r="A92" s="3" t="s">
        <v>82</v>
      </c>
      <c r="B92" s="6">
        <v>300</v>
      </c>
      <c r="C92" s="4"/>
      <c r="D92" s="12">
        <v>140</v>
      </c>
      <c r="E92" s="19">
        <f t="shared" si="1"/>
        <v>-0.53333333333333333</v>
      </c>
    </row>
    <row r="93" spans="1:5" ht="16.2" thickBot="1" x14ac:dyDescent="0.35">
      <c r="A93" s="3" t="s">
        <v>83</v>
      </c>
      <c r="B93" s="6">
        <v>700</v>
      </c>
      <c r="C93" s="4"/>
      <c r="D93" s="12">
        <v>700</v>
      </c>
      <c r="E93" s="19">
        <f t="shared" si="1"/>
        <v>0</v>
      </c>
    </row>
    <row r="94" spans="1:5" ht="16.2" thickBot="1" x14ac:dyDescent="0.35">
      <c r="A94" s="3" t="s">
        <v>84</v>
      </c>
      <c r="B94" s="7">
        <v>1000</v>
      </c>
      <c r="C94" s="4"/>
      <c r="D94" s="12">
        <v>840</v>
      </c>
      <c r="E94" s="19">
        <f t="shared" si="1"/>
        <v>-0.16</v>
      </c>
    </row>
    <row r="95" spans="1:5" ht="15" thickBot="1" x14ac:dyDescent="0.35">
      <c r="A95" s="5"/>
      <c r="B95" s="4"/>
      <c r="C95" s="4"/>
      <c r="D95" s="10"/>
      <c r="E95" s="19" t="e">
        <f t="shared" si="1"/>
        <v>#DIV/0!</v>
      </c>
    </row>
    <row r="96" spans="1:5" ht="16.2" thickBot="1" x14ac:dyDescent="0.35">
      <c r="A96" s="3" t="s">
        <v>85</v>
      </c>
      <c r="B96" s="6" t="s">
        <v>5</v>
      </c>
      <c r="C96" s="4"/>
      <c r="D96" s="11" t="s">
        <v>5</v>
      </c>
      <c r="E96" s="19" t="e" vm="1">
        <f t="shared" si="1"/>
        <v>#VALUE!</v>
      </c>
    </row>
    <row r="97" spans="1:5" ht="16.2" thickBot="1" x14ac:dyDescent="0.35">
      <c r="A97" s="3" t="s">
        <v>86</v>
      </c>
      <c r="B97" s="7">
        <v>2100</v>
      </c>
      <c r="C97" s="4"/>
      <c r="D97" s="11">
        <v>1578</v>
      </c>
      <c r="E97" s="19">
        <f t="shared" si="1"/>
        <v>-0.24857142857142858</v>
      </c>
    </row>
    <row r="98" spans="1:5" ht="16.2" thickBot="1" x14ac:dyDescent="0.35">
      <c r="A98" s="3" t="s">
        <v>87</v>
      </c>
      <c r="B98" s="7">
        <v>3000</v>
      </c>
      <c r="C98" s="4"/>
      <c r="D98" s="11">
        <v>2760</v>
      </c>
      <c r="E98" s="19">
        <f t="shared" si="1"/>
        <v>-0.08</v>
      </c>
    </row>
    <row r="99" spans="1:5" ht="16.2" thickBot="1" x14ac:dyDescent="0.35">
      <c r="A99" s="3" t="s">
        <v>88</v>
      </c>
      <c r="B99" s="7">
        <v>3500</v>
      </c>
      <c r="C99" s="4"/>
      <c r="D99" s="11">
        <v>1227</v>
      </c>
      <c r="E99" s="19">
        <f t="shared" si="1"/>
        <v>-0.64942857142857147</v>
      </c>
    </row>
    <row r="100" spans="1:5" ht="16.2" thickBot="1" x14ac:dyDescent="0.35">
      <c r="A100" s="3" t="s">
        <v>89</v>
      </c>
      <c r="B100" s="7">
        <v>3500</v>
      </c>
      <c r="C100" s="4"/>
      <c r="D100" s="11">
        <v>1840</v>
      </c>
      <c r="E100" s="19">
        <f t="shared" si="1"/>
        <v>-0.47428571428571431</v>
      </c>
    </row>
    <row r="101" spans="1:5" ht="16.2" thickBot="1" x14ac:dyDescent="0.35">
      <c r="A101" s="3" t="s">
        <v>90</v>
      </c>
      <c r="B101" s="7">
        <v>12100</v>
      </c>
      <c r="C101" s="4"/>
      <c r="D101" s="11">
        <v>7405</v>
      </c>
      <c r="E101" s="19">
        <f t="shared" si="1"/>
        <v>-0.38801652892561983</v>
      </c>
    </row>
    <row r="102" spans="1:5" ht="15" thickBot="1" x14ac:dyDescent="0.35">
      <c r="A102" s="5"/>
      <c r="B102" s="4"/>
      <c r="C102" s="4"/>
      <c r="D102" s="10"/>
      <c r="E102" s="19" t="e">
        <f t="shared" si="1"/>
        <v>#DIV/0!</v>
      </c>
    </row>
    <row r="103" spans="1:5" ht="16.2" thickBot="1" x14ac:dyDescent="0.35">
      <c r="A103" s="3" t="s">
        <v>91</v>
      </c>
      <c r="B103" s="6" t="s">
        <v>5</v>
      </c>
      <c r="C103" s="4"/>
      <c r="D103" s="11" t="s">
        <v>5</v>
      </c>
      <c r="E103" s="19" t="e" vm="1">
        <f t="shared" si="1"/>
        <v>#VALUE!</v>
      </c>
    </row>
    <row r="104" spans="1:5" ht="16.2" thickBot="1" x14ac:dyDescent="0.35">
      <c r="A104" s="3" t="s">
        <v>92</v>
      </c>
      <c r="B104" s="7">
        <v>6000</v>
      </c>
      <c r="C104" s="4"/>
      <c r="D104" s="12">
        <v>2687</v>
      </c>
      <c r="E104" s="19">
        <f t="shared" si="1"/>
        <v>-0.55216666666666669</v>
      </c>
    </row>
    <row r="105" spans="1:5" ht="16.2" thickBot="1" x14ac:dyDescent="0.35">
      <c r="A105" s="3" t="s">
        <v>93</v>
      </c>
      <c r="B105" s="7">
        <v>6000</v>
      </c>
      <c r="C105" s="4"/>
      <c r="D105" s="12">
        <v>10197</v>
      </c>
      <c r="E105" s="19">
        <f t="shared" si="1"/>
        <v>0.69950000000000001</v>
      </c>
    </row>
    <row r="106" spans="1:5" ht="16.2" thickBot="1" x14ac:dyDescent="0.35">
      <c r="A106" s="3" t="s">
        <v>94</v>
      </c>
      <c r="B106" s="7">
        <v>14000</v>
      </c>
      <c r="C106" s="4"/>
      <c r="D106" s="11">
        <v>14037</v>
      </c>
      <c r="E106" s="19">
        <f t="shared" si="1"/>
        <v>2.642857142857143E-3</v>
      </c>
    </row>
    <row r="107" spans="1:5" ht="16.2" thickBot="1" x14ac:dyDescent="0.35">
      <c r="A107" s="3" t="s">
        <v>95</v>
      </c>
      <c r="B107" s="7">
        <v>6700</v>
      </c>
      <c r="C107" s="4"/>
      <c r="D107" s="11">
        <v>4755</v>
      </c>
      <c r="E107" s="19">
        <f t="shared" si="1"/>
        <v>-0.29029850746268659</v>
      </c>
    </row>
    <row r="108" spans="1:5" ht="16.2" thickBot="1" x14ac:dyDescent="0.35">
      <c r="A108" s="3" t="s">
        <v>96</v>
      </c>
      <c r="B108" s="7">
        <v>1440</v>
      </c>
      <c r="C108" s="4"/>
      <c r="D108" s="11">
        <v>2400</v>
      </c>
      <c r="E108" s="19">
        <f t="shared" si="1"/>
        <v>0.66666666666666663</v>
      </c>
    </row>
    <row r="109" spans="1:5" ht="16.2" thickBot="1" x14ac:dyDescent="0.35">
      <c r="A109" s="3" t="s">
        <v>97</v>
      </c>
      <c r="B109" s="7">
        <v>1000</v>
      </c>
      <c r="C109" s="4"/>
      <c r="D109" s="11">
        <v>1139</v>
      </c>
      <c r="E109" s="19">
        <f t="shared" si="1"/>
        <v>0.13900000000000001</v>
      </c>
    </row>
    <row r="110" spans="1:5" ht="16.2" thickBot="1" x14ac:dyDescent="0.35">
      <c r="A110" s="3" t="s">
        <v>98</v>
      </c>
      <c r="B110" s="7">
        <v>4800</v>
      </c>
      <c r="C110" s="4"/>
      <c r="D110" s="12">
        <v>5514</v>
      </c>
      <c r="E110" s="19">
        <f t="shared" si="1"/>
        <v>0.14874999999999999</v>
      </c>
    </row>
    <row r="111" spans="1:5" ht="16.2" thickBot="1" x14ac:dyDescent="0.35">
      <c r="A111" s="3" t="s">
        <v>99</v>
      </c>
      <c r="B111" s="7">
        <v>1600</v>
      </c>
      <c r="C111" s="4"/>
      <c r="D111" s="12">
        <v>971</v>
      </c>
      <c r="E111" s="19">
        <f t="shared" si="1"/>
        <v>-0.393125</v>
      </c>
    </row>
    <row r="112" spans="1:5" ht="16.2" thickBot="1" x14ac:dyDescent="0.35">
      <c r="A112" s="3" t="s">
        <v>100</v>
      </c>
      <c r="B112" s="6" t="s">
        <v>5</v>
      </c>
      <c r="C112" s="4"/>
      <c r="D112" s="12">
        <v>720</v>
      </c>
      <c r="E112" s="19" t="e" vm="1">
        <f t="shared" si="1"/>
        <v>#VALUE!</v>
      </c>
    </row>
    <row r="113" spans="1:5" ht="16.2" thickBot="1" x14ac:dyDescent="0.35">
      <c r="A113" s="3" t="s">
        <v>101</v>
      </c>
      <c r="B113" s="7">
        <v>1000</v>
      </c>
      <c r="C113" s="4"/>
      <c r="D113" s="12">
        <v>592</v>
      </c>
      <c r="E113" s="19">
        <f t="shared" si="1"/>
        <v>-0.40799999999999997</v>
      </c>
    </row>
    <row r="114" spans="1:5" ht="16.2" thickBot="1" x14ac:dyDescent="0.35">
      <c r="A114" s="3" t="s">
        <v>102</v>
      </c>
      <c r="B114" s="6">
        <v>900</v>
      </c>
      <c r="C114" s="4"/>
      <c r="D114" s="11">
        <v>501</v>
      </c>
      <c r="E114" s="19">
        <f t="shared" si="1"/>
        <v>-0.44333333333333336</v>
      </c>
    </row>
    <row r="115" spans="1:5" ht="16.2" thickBot="1" x14ac:dyDescent="0.35">
      <c r="A115" s="3" t="s">
        <v>103</v>
      </c>
      <c r="B115" s="7">
        <v>1000</v>
      </c>
      <c r="C115" s="4"/>
      <c r="D115" s="11" t="s">
        <v>5</v>
      </c>
      <c r="E115" s="19" t="e" vm="1">
        <f t="shared" si="1"/>
        <v>#VALUE!</v>
      </c>
    </row>
    <row r="116" spans="1:5" ht="16.2" thickBot="1" x14ac:dyDescent="0.35">
      <c r="A116" s="3" t="s">
        <v>104</v>
      </c>
      <c r="B116" s="6">
        <v>650</v>
      </c>
      <c r="C116" s="4"/>
      <c r="D116" s="11" t="s">
        <v>5</v>
      </c>
      <c r="E116" s="19" t="e" vm="1">
        <f t="shared" si="1"/>
        <v>#VALUE!</v>
      </c>
    </row>
    <row r="117" spans="1:5" ht="16.2" thickBot="1" x14ac:dyDescent="0.35">
      <c r="A117" s="3" t="s">
        <v>105</v>
      </c>
      <c r="B117" s="6">
        <v>500</v>
      </c>
      <c r="C117" s="4"/>
      <c r="D117" s="11" t="s">
        <v>5</v>
      </c>
      <c r="E117" s="19" t="e" vm="1">
        <f t="shared" si="1"/>
        <v>#VALUE!</v>
      </c>
    </row>
    <row r="118" spans="1:5" ht="16.2" thickBot="1" x14ac:dyDescent="0.35">
      <c r="A118" s="3" t="s">
        <v>106</v>
      </c>
      <c r="B118" s="6">
        <v>100</v>
      </c>
      <c r="C118" s="4"/>
      <c r="D118" s="11" t="s">
        <v>5</v>
      </c>
      <c r="E118" s="19" t="e" vm="1">
        <f t="shared" si="1"/>
        <v>#VALUE!</v>
      </c>
    </row>
    <row r="119" spans="1:5" ht="16.2" thickBot="1" x14ac:dyDescent="0.35">
      <c r="A119" s="3" t="s">
        <v>107</v>
      </c>
      <c r="B119" s="7">
        <v>45690</v>
      </c>
      <c r="C119" s="4"/>
      <c r="D119" s="12">
        <v>43513</v>
      </c>
      <c r="E119" s="19">
        <f t="shared" si="1"/>
        <v>-4.7647187568395713E-2</v>
      </c>
    </row>
    <row r="120" spans="1:5" ht="15" thickBot="1" x14ac:dyDescent="0.35">
      <c r="A120" s="5"/>
      <c r="B120" s="4"/>
      <c r="C120" s="4"/>
      <c r="D120" s="10"/>
      <c r="E120" s="19" t="e">
        <f t="shared" si="1"/>
        <v>#DIV/0!</v>
      </c>
    </row>
    <row r="121" spans="1:5" ht="16.2" thickBot="1" x14ac:dyDescent="0.35">
      <c r="A121" s="3" t="s">
        <v>108</v>
      </c>
      <c r="B121" s="6" t="s">
        <v>5</v>
      </c>
      <c r="C121" s="4"/>
      <c r="D121" s="11" t="s">
        <v>5</v>
      </c>
      <c r="E121" s="19" t="e" vm="1">
        <f t="shared" si="1"/>
        <v>#VALUE!</v>
      </c>
    </row>
    <row r="122" spans="1:5" ht="16.2" thickBot="1" x14ac:dyDescent="0.35">
      <c r="A122" s="3" t="s">
        <v>109</v>
      </c>
      <c r="B122" s="7">
        <v>22340</v>
      </c>
      <c r="C122" s="4"/>
      <c r="D122" s="12">
        <v>10975</v>
      </c>
      <c r="E122" s="19">
        <f t="shared" si="1"/>
        <v>-0.50872873769024174</v>
      </c>
    </row>
    <row r="123" spans="1:5" ht="16.2" thickBot="1" x14ac:dyDescent="0.35">
      <c r="A123" s="3" t="s">
        <v>110</v>
      </c>
      <c r="B123" s="7">
        <v>13000</v>
      </c>
      <c r="C123" s="4"/>
      <c r="D123" s="11">
        <v>5944</v>
      </c>
      <c r="E123" s="19">
        <f t="shared" si="1"/>
        <v>-0.54276923076923078</v>
      </c>
    </row>
    <row r="124" spans="1:5" ht="16.2" thickBot="1" x14ac:dyDescent="0.35">
      <c r="A124" s="3" t="s">
        <v>111</v>
      </c>
      <c r="B124" s="7">
        <v>1500</v>
      </c>
      <c r="C124" s="4"/>
      <c r="D124" s="11">
        <v>685</v>
      </c>
      <c r="E124" s="19">
        <f t="shared" si="1"/>
        <v>-0.54333333333333333</v>
      </c>
    </row>
    <row r="125" spans="1:5" ht="16.2" thickBot="1" x14ac:dyDescent="0.35">
      <c r="A125" s="3" t="s">
        <v>112</v>
      </c>
      <c r="B125" s="7">
        <v>3000</v>
      </c>
      <c r="C125" s="4"/>
      <c r="D125" s="12">
        <v>4000</v>
      </c>
      <c r="E125" s="19">
        <f t="shared" si="1"/>
        <v>0.33333333333333331</v>
      </c>
    </row>
    <row r="126" spans="1:5" ht="16.2" thickBot="1" x14ac:dyDescent="0.35">
      <c r="A126" s="3" t="s">
        <v>113</v>
      </c>
      <c r="B126" s="6">
        <v>500</v>
      </c>
      <c r="C126" s="4"/>
      <c r="D126" s="11" t="s">
        <v>5</v>
      </c>
      <c r="E126" s="19" t="e" vm="1">
        <f t="shared" si="1"/>
        <v>#VALUE!</v>
      </c>
    </row>
    <row r="127" spans="1:5" ht="16.2" thickBot="1" x14ac:dyDescent="0.35">
      <c r="A127" s="3" t="s">
        <v>114</v>
      </c>
      <c r="B127" s="7">
        <v>7000</v>
      </c>
      <c r="C127" s="4"/>
      <c r="D127" s="11" t="s">
        <v>5</v>
      </c>
      <c r="E127" s="19" t="e" vm="1">
        <f t="shared" si="1"/>
        <v>#VALUE!</v>
      </c>
    </row>
    <row r="128" spans="1:5" ht="16.2" thickBot="1" x14ac:dyDescent="0.35">
      <c r="A128" s="3" t="s">
        <v>115</v>
      </c>
      <c r="B128" s="7">
        <v>47340</v>
      </c>
      <c r="C128" s="4"/>
      <c r="D128" s="12">
        <v>21604</v>
      </c>
      <c r="E128" s="19">
        <f t="shared" si="1"/>
        <v>-0.54364174059991555</v>
      </c>
    </row>
    <row r="129" spans="1:5" ht="15" thickBot="1" x14ac:dyDescent="0.35">
      <c r="A129" s="5"/>
      <c r="B129" s="4"/>
      <c r="C129" s="4"/>
      <c r="D129" s="10"/>
      <c r="E129" s="19" t="e">
        <f t="shared" si="1"/>
        <v>#DIV/0!</v>
      </c>
    </row>
    <row r="130" spans="1:5" ht="16.2" thickBot="1" x14ac:dyDescent="0.35">
      <c r="A130" s="3" t="s">
        <v>116</v>
      </c>
      <c r="B130" s="6" t="s">
        <v>5</v>
      </c>
      <c r="C130" s="4"/>
      <c r="D130" s="11" t="s">
        <v>5</v>
      </c>
      <c r="E130" s="19" t="e" vm="1">
        <f t="shared" si="1"/>
        <v>#VALUE!</v>
      </c>
    </row>
    <row r="131" spans="1:5" ht="16.2" thickBot="1" x14ac:dyDescent="0.35">
      <c r="A131" s="3" t="s">
        <v>117</v>
      </c>
      <c r="B131" s="7">
        <v>920470</v>
      </c>
      <c r="C131" s="4"/>
      <c r="D131" s="11">
        <v>193697</v>
      </c>
      <c r="E131" s="19">
        <f t="shared" si="1"/>
        <v>-0.78956728627766248</v>
      </c>
    </row>
    <row r="132" spans="1:5" ht="16.2" thickBot="1" x14ac:dyDescent="0.35">
      <c r="A132" s="3" t="s">
        <v>118</v>
      </c>
      <c r="B132" s="6" t="s">
        <v>5</v>
      </c>
      <c r="C132" s="4"/>
      <c r="D132" s="11">
        <v>12099</v>
      </c>
      <c r="E132" s="19" t="e" vm="1">
        <f t="shared" si="1"/>
        <v>#VALUE!</v>
      </c>
    </row>
    <row r="133" spans="1:5" ht="16.2" thickBot="1" x14ac:dyDescent="0.35">
      <c r="A133" s="3" t="s">
        <v>119</v>
      </c>
      <c r="B133" s="6" t="s">
        <v>5</v>
      </c>
      <c r="C133" s="4"/>
      <c r="D133" s="11">
        <v>18210</v>
      </c>
      <c r="E133" s="19" t="e" vm="1">
        <f t="shared" si="1"/>
        <v>#VALUE!</v>
      </c>
    </row>
    <row r="134" spans="1:5" ht="16.2" thickBot="1" x14ac:dyDescent="0.35">
      <c r="A134" s="3" t="s">
        <v>120</v>
      </c>
      <c r="B134" s="6" t="s">
        <v>5</v>
      </c>
      <c r="C134" s="4"/>
      <c r="D134" s="11">
        <v>74000</v>
      </c>
      <c r="E134" s="19" t="e" vm="1">
        <f t="shared" ref="E134:E197" si="2">(D134-B134)/B134</f>
        <v>#VALUE!</v>
      </c>
    </row>
    <row r="135" spans="1:5" ht="16.2" thickBot="1" x14ac:dyDescent="0.35">
      <c r="A135" s="3" t="s">
        <v>121</v>
      </c>
      <c r="B135" s="6" t="s">
        <v>5</v>
      </c>
      <c r="C135" s="4"/>
      <c r="D135" s="11">
        <v>14403</v>
      </c>
      <c r="E135" s="19" t="e" vm="1">
        <f t="shared" si="2"/>
        <v>#VALUE!</v>
      </c>
    </row>
    <row r="136" spans="1:5" ht="16.2" thickBot="1" x14ac:dyDescent="0.35">
      <c r="A136" s="3" t="s">
        <v>122</v>
      </c>
      <c r="B136" s="6" t="s">
        <v>5</v>
      </c>
      <c r="C136" s="4"/>
      <c r="D136" s="11">
        <v>42254</v>
      </c>
      <c r="E136" s="19" t="e" vm="1">
        <f t="shared" si="2"/>
        <v>#VALUE!</v>
      </c>
    </row>
    <row r="137" spans="1:5" ht="16.2" thickBot="1" x14ac:dyDescent="0.35">
      <c r="A137" s="3" t="s">
        <v>123</v>
      </c>
      <c r="B137" s="6" t="s">
        <v>5</v>
      </c>
      <c r="C137" s="4"/>
      <c r="D137" s="11">
        <v>195</v>
      </c>
      <c r="E137" s="19" t="e" vm="1">
        <f t="shared" si="2"/>
        <v>#VALUE!</v>
      </c>
    </row>
    <row r="138" spans="1:5" ht="16.2" thickBot="1" x14ac:dyDescent="0.35">
      <c r="A138" s="3" t="s">
        <v>124</v>
      </c>
      <c r="B138" s="6" t="s">
        <v>5</v>
      </c>
      <c r="C138" s="4"/>
      <c r="D138" s="11">
        <v>63455</v>
      </c>
      <c r="E138" s="19" t="e" vm="1">
        <f t="shared" si="2"/>
        <v>#VALUE!</v>
      </c>
    </row>
    <row r="139" spans="1:5" ht="16.2" thickBot="1" x14ac:dyDescent="0.35">
      <c r="A139" s="3" t="s">
        <v>125</v>
      </c>
      <c r="B139" s="6" t="s">
        <v>5</v>
      </c>
      <c r="C139" s="4"/>
      <c r="D139" s="11">
        <v>12098</v>
      </c>
      <c r="E139" s="19" t="e" vm="1">
        <f t="shared" si="2"/>
        <v>#VALUE!</v>
      </c>
    </row>
    <row r="140" spans="1:5" ht="16.2" thickBot="1" x14ac:dyDescent="0.35">
      <c r="A140" s="3" t="s">
        <v>126</v>
      </c>
      <c r="B140" s="6" t="s">
        <v>5</v>
      </c>
      <c r="C140" s="4"/>
      <c r="D140" s="11">
        <v>12404</v>
      </c>
      <c r="E140" s="19" t="e" vm="1">
        <f t="shared" si="2"/>
        <v>#VALUE!</v>
      </c>
    </row>
    <row r="141" spans="1:5" ht="16.2" thickBot="1" x14ac:dyDescent="0.35">
      <c r="A141" s="3" t="s">
        <v>127</v>
      </c>
      <c r="B141" s="6" t="s">
        <v>5</v>
      </c>
      <c r="C141" s="4"/>
      <c r="D141" s="11">
        <v>13500</v>
      </c>
      <c r="E141" s="19" t="e" vm="1">
        <f t="shared" si="2"/>
        <v>#VALUE!</v>
      </c>
    </row>
    <row r="142" spans="1:5" ht="16.2" thickBot="1" x14ac:dyDescent="0.35">
      <c r="A142" s="3" t="s">
        <v>128</v>
      </c>
      <c r="B142" s="6" t="s">
        <v>5</v>
      </c>
      <c r="C142" s="4"/>
      <c r="D142" s="11">
        <v>56663</v>
      </c>
      <c r="E142" s="19" t="e" vm="1">
        <f t="shared" si="2"/>
        <v>#VALUE!</v>
      </c>
    </row>
    <row r="143" spans="1:5" ht="16.2" thickBot="1" x14ac:dyDescent="0.35">
      <c r="A143" s="3" t="s">
        <v>129</v>
      </c>
      <c r="B143" s="6" t="s">
        <v>5</v>
      </c>
      <c r="C143" s="4"/>
      <c r="D143" s="11">
        <v>2004</v>
      </c>
      <c r="E143" s="19" t="e" vm="1">
        <f t="shared" si="2"/>
        <v>#VALUE!</v>
      </c>
    </row>
    <row r="144" spans="1:5" ht="16.2" thickBot="1" x14ac:dyDescent="0.35">
      <c r="A144" s="3" t="s">
        <v>130</v>
      </c>
      <c r="B144" s="6" t="s">
        <v>5</v>
      </c>
      <c r="C144" s="4"/>
      <c r="D144" s="11">
        <v>2004</v>
      </c>
      <c r="E144" s="19" t="e" vm="1">
        <f t="shared" si="2"/>
        <v>#VALUE!</v>
      </c>
    </row>
    <row r="145" spans="1:5" ht="16.2" thickBot="1" x14ac:dyDescent="0.35">
      <c r="A145" s="3" t="s">
        <v>131</v>
      </c>
      <c r="B145" s="6" t="s">
        <v>5</v>
      </c>
      <c r="C145" s="4"/>
      <c r="D145" s="11">
        <v>2004</v>
      </c>
      <c r="E145" s="19" t="e" vm="1">
        <f t="shared" si="2"/>
        <v>#VALUE!</v>
      </c>
    </row>
    <row r="146" spans="1:5" ht="16.2" thickBot="1" x14ac:dyDescent="0.35">
      <c r="A146" s="3" t="s">
        <v>132</v>
      </c>
      <c r="B146" s="6" t="s">
        <v>5</v>
      </c>
      <c r="C146" s="4"/>
      <c r="D146" s="11">
        <v>119359</v>
      </c>
      <c r="E146" s="19" t="e" vm="1">
        <f t="shared" si="2"/>
        <v>#VALUE!</v>
      </c>
    </row>
    <row r="147" spans="1:5" ht="16.2" thickBot="1" x14ac:dyDescent="0.35">
      <c r="A147" s="3" t="s">
        <v>133</v>
      </c>
      <c r="B147" s="6" t="s">
        <v>5</v>
      </c>
      <c r="C147" s="4"/>
      <c r="D147" s="11">
        <v>116995</v>
      </c>
      <c r="E147" s="19" t="e" vm="1">
        <f t="shared" si="2"/>
        <v>#VALUE!</v>
      </c>
    </row>
    <row r="148" spans="1:5" ht="16.2" thickBot="1" x14ac:dyDescent="0.35">
      <c r="A148" s="3" t="s">
        <v>134</v>
      </c>
      <c r="B148" s="6" t="s">
        <v>5</v>
      </c>
      <c r="C148" s="4"/>
      <c r="D148" s="11">
        <v>57161</v>
      </c>
      <c r="E148" s="19" t="e" vm="1">
        <f t="shared" si="2"/>
        <v>#VALUE!</v>
      </c>
    </row>
    <row r="149" spans="1:5" ht="16.2" thickBot="1" x14ac:dyDescent="0.35">
      <c r="A149" s="3" t="s">
        <v>135</v>
      </c>
      <c r="B149" s="6" t="s">
        <v>5</v>
      </c>
      <c r="C149" s="4"/>
      <c r="D149" s="11">
        <v>4090</v>
      </c>
      <c r="E149" s="19" t="e" vm="1">
        <f t="shared" si="2"/>
        <v>#VALUE!</v>
      </c>
    </row>
    <row r="150" spans="1:5" ht="16.2" thickBot="1" x14ac:dyDescent="0.35">
      <c r="A150" s="3" t="s">
        <v>136</v>
      </c>
      <c r="B150" s="6" t="s">
        <v>5</v>
      </c>
      <c r="C150" s="4"/>
      <c r="D150" s="11">
        <v>13648</v>
      </c>
      <c r="E150" s="19" t="e" vm="1">
        <f t="shared" si="2"/>
        <v>#VALUE!</v>
      </c>
    </row>
    <row r="151" spans="1:5" ht="16.2" thickBot="1" x14ac:dyDescent="0.35">
      <c r="A151" s="3" t="s">
        <v>137</v>
      </c>
      <c r="B151" s="6" t="s">
        <v>5</v>
      </c>
      <c r="C151" s="4"/>
      <c r="D151" s="11">
        <v>4503</v>
      </c>
      <c r="E151" s="19" t="e" vm="1">
        <f t="shared" si="2"/>
        <v>#VALUE!</v>
      </c>
    </row>
    <row r="152" spans="1:5" ht="16.2" thickBot="1" x14ac:dyDescent="0.35">
      <c r="A152" s="3" t="s">
        <v>138</v>
      </c>
      <c r="B152" s="6" t="s">
        <v>5</v>
      </c>
      <c r="C152" s="4"/>
      <c r="D152" s="11">
        <v>631</v>
      </c>
      <c r="E152" s="19" t="e" vm="1">
        <f t="shared" si="2"/>
        <v>#VALUE!</v>
      </c>
    </row>
    <row r="153" spans="1:5" ht="16.2" thickBot="1" x14ac:dyDescent="0.35">
      <c r="A153" s="3" t="s">
        <v>139</v>
      </c>
      <c r="B153" s="6" t="s">
        <v>5</v>
      </c>
      <c r="C153" s="4"/>
      <c r="D153" s="11">
        <v>19630</v>
      </c>
      <c r="E153" s="19" t="e" vm="1">
        <f t="shared" si="2"/>
        <v>#VALUE!</v>
      </c>
    </row>
    <row r="154" spans="1:5" ht="16.2" thickBot="1" x14ac:dyDescent="0.35">
      <c r="A154" s="3" t="s">
        <v>140</v>
      </c>
      <c r="B154" s="6" t="s">
        <v>5</v>
      </c>
      <c r="C154" s="4"/>
      <c r="D154" s="11">
        <v>6537</v>
      </c>
      <c r="E154" s="19" t="e" vm="1">
        <f t="shared" si="2"/>
        <v>#VALUE!</v>
      </c>
    </row>
    <row r="155" spans="1:5" ht="16.2" thickBot="1" x14ac:dyDescent="0.35">
      <c r="A155" s="3" t="s">
        <v>141</v>
      </c>
      <c r="B155" s="6" t="s">
        <v>5</v>
      </c>
      <c r="C155" s="4"/>
      <c r="D155" s="11">
        <v>1864</v>
      </c>
      <c r="E155" s="19" t="e" vm="1">
        <f t="shared" si="2"/>
        <v>#VALUE!</v>
      </c>
    </row>
    <row r="156" spans="1:5" ht="16.2" thickBot="1" x14ac:dyDescent="0.35">
      <c r="A156" s="3" t="s">
        <v>142</v>
      </c>
      <c r="B156" s="6" t="s">
        <v>5</v>
      </c>
      <c r="C156" s="4"/>
      <c r="D156" s="11">
        <v>1448</v>
      </c>
      <c r="E156" s="19" t="e" vm="1">
        <f t="shared" si="2"/>
        <v>#VALUE!</v>
      </c>
    </row>
    <row r="157" spans="1:5" ht="16.2" thickBot="1" x14ac:dyDescent="0.35">
      <c r="A157" s="3" t="s">
        <v>143</v>
      </c>
      <c r="B157" s="6" t="s">
        <v>5</v>
      </c>
      <c r="C157" s="4"/>
      <c r="D157" s="11">
        <v>74</v>
      </c>
      <c r="E157" s="19" t="e" vm="1">
        <f t="shared" si="2"/>
        <v>#VALUE!</v>
      </c>
    </row>
    <row r="158" spans="1:5" ht="16.2" thickBot="1" x14ac:dyDescent="0.35">
      <c r="A158" s="3" t="s">
        <v>144</v>
      </c>
      <c r="B158" s="7">
        <v>920470</v>
      </c>
      <c r="C158" s="4"/>
      <c r="D158" s="11">
        <f>SUM(D131:D157)</f>
        <v>864930</v>
      </c>
      <c r="E158" s="19">
        <f t="shared" si="2"/>
        <v>-6.0338739991526065E-2</v>
      </c>
    </row>
    <row r="159" spans="1:5" ht="16.2" thickBot="1" x14ac:dyDescent="0.35">
      <c r="A159" s="3" t="s">
        <v>145</v>
      </c>
      <c r="B159" s="7">
        <v>50000</v>
      </c>
      <c r="C159" s="4"/>
      <c r="D159" s="11" t="s">
        <v>5</v>
      </c>
      <c r="E159" s="19" t="e" vm="1">
        <f t="shared" si="2"/>
        <v>#VALUE!</v>
      </c>
    </row>
    <row r="160" spans="1:5" ht="16.2" thickBot="1" x14ac:dyDescent="0.35">
      <c r="A160" s="3" t="s">
        <v>146</v>
      </c>
      <c r="B160" s="7">
        <v>10000</v>
      </c>
      <c r="C160" s="4"/>
      <c r="D160" s="11" t="s">
        <v>5</v>
      </c>
      <c r="E160" s="19" t="e" vm="1">
        <f t="shared" si="2"/>
        <v>#VALUE!</v>
      </c>
    </row>
    <row r="161" spans="1:5" ht="16.2" thickBot="1" x14ac:dyDescent="0.35">
      <c r="A161" s="3" t="s">
        <v>147</v>
      </c>
      <c r="B161" s="4"/>
      <c r="C161" s="7">
        <v>250000</v>
      </c>
      <c r="D161" s="11" t="s">
        <v>5</v>
      </c>
      <c r="E161" s="19" t="e" vm="1">
        <f t="shared" si="2"/>
        <v>#VALUE!</v>
      </c>
    </row>
    <row r="162" spans="1:5" ht="16.2" thickBot="1" x14ac:dyDescent="0.35">
      <c r="A162" s="3" t="s">
        <v>148</v>
      </c>
      <c r="B162" s="7">
        <v>90000</v>
      </c>
      <c r="C162" s="4"/>
      <c r="D162" s="11" t="s">
        <v>5</v>
      </c>
      <c r="E162" s="19" t="e" vm="1">
        <f t="shared" si="2"/>
        <v>#VALUE!</v>
      </c>
    </row>
    <row r="163" spans="1:5" ht="16.2" thickBot="1" x14ac:dyDescent="0.35">
      <c r="A163" s="3" t="s">
        <v>149</v>
      </c>
      <c r="B163" s="7">
        <v>1070470</v>
      </c>
      <c r="C163" s="7">
        <v>1320470</v>
      </c>
      <c r="D163" s="11">
        <f>D158</f>
        <v>864930</v>
      </c>
      <c r="E163" s="19">
        <f t="shared" si="2"/>
        <v>-0.19200911749044813</v>
      </c>
    </row>
    <row r="164" spans="1:5" ht="15" thickBot="1" x14ac:dyDescent="0.35">
      <c r="A164" s="5"/>
      <c r="B164" s="4"/>
      <c r="C164" s="4"/>
      <c r="D164" s="10"/>
      <c r="E164" s="19" t="e">
        <f t="shared" si="2"/>
        <v>#DIV/0!</v>
      </c>
    </row>
    <row r="165" spans="1:5" ht="16.2" thickBot="1" x14ac:dyDescent="0.35">
      <c r="A165" s="3" t="s">
        <v>150</v>
      </c>
      <c r="B165" s="6" t="s">
        <v>5</v>
      </c>
      <c r="C165" s="4"/>
      <c r="D165" s="11" t="s">
        <v>5</v>
      </c>
      <c r="E165" s="19" t="e" vm="1">
        <f t="shared" si="2"/>
        <v>#VALUE!</v>
      </c>
    </row>
    <row r="166" spans="1:5" ht="16.2" thickBot="1" x14ac:dyDescent="0.35">
      <c r="A166" s="3" t="s">
        <v>151</v>
      </c>
      <c r="B166" s="7">
        <v>1200</v>
      </c>
      <c r="C166" s="4"/>
      <c r="D166" s="11">
        <v>1965</v>
      </c>
      <c r="E166" s="19">
        <f t="shared" si="2"/>
        <v>0.63749999999999996</v>
      </c>
    </row>
    <row r="167" spans="1:5" ht="16.2" thickBot="1" x14ac:dyDescent="0.35">
      <c r="A167" s="3" t="s">
        <v>152</v>
      </c>
      <c r="B167" s="7">
        <v>1380</v>
      </c>
      <c r="C167" s="4"/>
      <c r="D167" s="12">
        <v>1454</v>
      </c>
      <c r="E167" s="19">
        <f t="shared" si="2"/>
        <v>5.3623188405797099E-2</v>
      </c>
    </row>
    <row r="168" spans="1:5" ht="16.2" thickBot="1" x14ac:dyDescent="0.35">
      <c r="A168" s="3" t="s">
        <v>153</v>
      </c>
      <c r="B168" s="7">
        <v>1500</v>
      </c>
      <c r="C168" s="4"/>
      <c r="D168" s="11">
        <v>1512</v>
      </c>
      <c r="E168" s="19">
        <f t="shared" si="2"/>
        <v>8.0000000000000002E-3</v>
      </c>
    </row>
    <row r="169" spans="1:5" ht="16.2" thickBot="1" x14ac:dyDescent="0.35">
      <c r="A169" s="3" t="s">
        <v>154</v>
      </c>
      <c r="B169" s="7">
        <v>40000</v>
      </c>
      <c r="C169" s="4"/>
      <c r="D169" s="11">
        <v>35617</v>
      </c>
      <c r="E169" s="19">
        <f t="shared" si="2"/>
        <v>-0.10957500000000001</v>
      </c>
    </row>
    <row r="170" spans="1:5" ht="16.2" thickBot="1" x14ac:dyDescent="0.35">
      <c r="A170" s="3" t="s">
        <v>155</v>
      </c>
      <c r="B170" s="7">
        <v>6000</v>
      </c>
      <c r="C170" s="4"/>
      <c r="D170" s="11">
        <v>4149</v>
      </c>
      <c r="E170" s="19">
        <f t="shared" si="2"/>
        <v>-0.3085</v>
      </c>
    </row>
    <row r="171" spans="1:5" ht="16.2" thickBot="1" x14ac:dyDescent="0.35">
      <c r="A171" s="3" t="s">
        <v>156</v>
      </c>
      <c r="B171" s="7">
        <v>6700</v>
      </c>
      <c r="C171" s="4"/>
      <c r="D171" s="11">
        <v>6491</v>
      </c>
      <c r="E171" s="19">
        <f t="shared" si="2"/>
        <v>-3.119402985074627E-2</v>
      </c>
    </row>
    <row r="172" spans="1:5" ht="16.2" thickBot="1" x14ac:dyDescent="0.35">
      <c r="A172" s="3" t="s">
        <v>157</v>
      </c>
      <c r="B172" s="6">
        <v>800</v>
      </c>
      <c r="C172" s="4"/>
      <c r="D172" s="11">
        <v>949</v>
      </c>
      <c r="E172" s="19">
        <f t="shared" si="2"/>
        <v>0.18625</v>
      </c>
    </row>
    <row r="173" spans="1:5" ht="16.2" thickBot="1" x14ac:dyDescent="0.35">
      <c r="A173" s="3" t="s">
        <v>158</v>
      </c>
      <c r="B173" s="7">
        <v>2000</v>
      </c>
      <c r="C173" s="4"/>
      <c r="D173" s="11" t="s">
        <v>5</v>
      </c>
      <c r="E173" s="19" t="e" vm="1">
        <f t="shared" si="2"/>
        <v>#VALUE!</v>
      </c>
    </row>
    <row r="174" spans="1:5" ht="16.2" thickBot="1" x14ac:dyDescent="0.35">
      <c r="A174" s="3" t="s">
        <v>159</v>
      </c>
      <c r="B174" s="7">
        <v>59580</v>
      </c>
      <c r="C174" s="4"/>
      <c r="D174" s="12">
        <f>SUM(D166:D173)</f>
        <v>52137</v>
      </c>
      <c r="E174" s="19">
        <f t="shared" si="2"/>
        <v>-0.12492447129909366</v>
      </c>
    </row>
    <row r="175" spans="1:5" ht="15" thickBot="1" x14ac:dyDescent="0.35">
      <c r="A175" s="5"/>
      <c r="B175" s="4"/>
      <c r="C175" s="4"/>
      <c r="D175" s="10"/>
      <c r="E175" s="19" t="e">
        <f t="shared" si="2"/>
        <v>#DIV/0!</v>
      </c>
    </row>
    <row r="176" spans="1:5" ht="16.2" thickBot="1" x14ac:dyDescent="0.35">
      <c r="A176" s="3" t="s">
        <v>160</v>
      </c>
      <c r="B176" s="6" t="s">
        <v>5</v>
      </c>
      <c r="C176" s="4"/>
      <c r="D176" s="11" t="s">
        <v>5</v>
      </c>
      <c r="E176" s="19" t="e" vm="1">
        <f t="shared" si="2"/>
        <v>#VALUE!</v>
      </c>
    </row>
    <row r="177" spans="1:5" ht="16.2" thickBot="1" x14ac:dyDescent="0.35">
      <c r="A177" s="3" t="s">
        <v>161</v>
      </c>
      <c r="B177" s="6">
        <v>800</v>
      </c>
      <c r="C177" s="4"/>
      <c r="D177" s="11">
        <v>1169</v>
      </c>
      <c r="E177" s="19">
        <f t="shared" si="2"/>
        <v>0.46124999999999999</v>
      </c>
    </row>
    <row r="178" spans="1:5" ht="16.2" thickBot="1" x14ac:dyDescent="0.35">
      <c r="A178" s="3" t="s">
        <v>162</v>
      </c>
      <c r="B178" s="7">
        <v>2800</v>
      </c>
      <c r="C178" s="4"/>
      <c r="D178" s="11">
        <v>300</v>
      </c>
      <c r="E178" s="19">
        <f t="shared" si="2"/>
        <v>-0.8928571428571429</v>
      </c>
    </row>
    <row r="179" spans="1:5" ht="16.2" thickBot="1" x14ac:dyDescent="0.35">
      <c r="A179" s="3" t="s">
        <v>163</v>
      </c>
      <c r="B179" s="7">
        <v>78660</v>
      </c>
      <c r="C179" s="4"/>
      <c r="D179" s="12">
        <v>35095</v>
      </c>
      <c r="E179" s="19">
        <f t="shared" si="2"/>
        <v>-0.5538393084159674</v>
      </c>
    </row>
    <row r="180" spans="1:5" ht="16.2" thickBot="1" x14ac:dyDescent="0.35">
      <c r="A180" s="3" t="s">
        <v>164</v>
      </c>
      <c r="B180" s="7">
        <v>4000</v>
      </c>
      <c r="C180" s="4"/>
      <c r="D180" s="11">
        <v>1469</v>
      </c>
      <c r="E180" s="19">
        <f t="shared" si="2"/>
        <v>-0.63275000000000003</v>
      </c>
    </row>
    <row r="181" spans="1:5" ht="16.2" thickBot="1" x14ac:dyDescent="0.35">
      <c r="A181" s="3" t="s">
        <v>165</v>
      </c>
      <c r="B181" s="7">
        <v>1200</v>
      </c>
      <c r="C181" s="4"/>
      <c r="D181" s="11">
        <v>1965</v>
      </c>
      <c r="E181" s="19">
        <f t="shared" si="2"/>
        <v>0.63749999999999996</v>
      </c>
    </row>
    <row r="182" spans="1:5" ht="16.2" thickBot="1" x14ac:dyDescent="0.35">
      <c r="A182" s="3" t="s">
        <v>166</v>
      </c>
      <c r="B182" s="7">
        <v>8000</v>
      </c>
      <c r="C182" s="4"/>
      <c r="D182" s="11">
        <v>9097</v>
      </c>
      <c r="E182" s="19">
        <f t="shared" si="2"/>
        <v>0.137125</v>
      </c>
    </row>
    <row r="183" spans="1:5" ht="16.2" thickBot="1" x14ac:dyDescent="0.35">
      <c r="A183" s="3" t="s">
        <v>167</v>
      </c>
      <c r="B183" s="7">
        <v>8000</v>
      </c>
      <c r="C183" s="4"/>
      <c r="D183" s="11">
        <v>307</v>
      </c>
      <c r="E183" s="19">
        <f t="shared" si="2"/>
        <v>-0.96162499999999995</v>
      </c>
    </row>
    <row r="184" spans="1:5" ht="16.2" thickBot="1" x14ac:dyDescent="0.35">
      <c r="A184" s="3" t="s">
        <v>168</v>
      </c>
      <c r="B184" s="7">
        <v>2500</v>
      </c>
      <c r="C184" s="4"/>
      <c r="D184" s="11">
        <v>1585</v>
      </c>
      <c r="E184" s="19">
        <f t="shared" si="2"/>
        <v>-0.36599999999999999</v>
      </c>
    </row>
    <row r="185" spans="1:5" ht="16.2" thickBot="1" x14ac:dyDescent="0.35">
      <c r="A185" s="3" t="s">
        <v>169</v>
      </c>
      <c r="B185" s="7">
        <v>8000</v>
      </c>
      <c r="C185" s="4"/>
      <c r="D185" s="11">
        <v>9593</v>
      </c>
      <c r="E185" s="19">
        <f t="shared" si="2"/>
        <v>0.199125</v>
      </c>
    </row>
    <row r="186" spans="1:5" ht="16.2" thickBot="1" x14ac:dyDescent="0.35">
      <c r="A186" s="3" t="s">
        <v>170</v>
      </c>
      <c r="B186" s="7">
        <v>151000</v>
      </c>
      <c r="C186" s="4"/>
      <c r="D186" s="12">
        <v>70502</v>
      </c>
      <c r="E186" s="19">
        <f t="shared" si="2"/>
        <v>-0.53309933774834439</v>
      </c>
    </row>
    <row r="187" spans="1:5" ht="16.2" thickBot="1" x14ac:dyDescent="0.35">
      <c r="A187" s="3" t="s">
        <v>171</v>
      </c>
      <c r="B187" s="7">
        <v>85000</v>
      </c>
      <c r="C187" s="4"/>
      <c r="D187" s="11">
        <v>65351</v>
      </c>
      <c r="E187" s="19">
        <f t="shared" si="2"/>
        <v>-0.23116470588235294</v>
      </c>
    </row>
    <row r="188" spans="1:5" ht="16.2" thickBot="1" x14ac:dyDescent="0.35">
      <c r="A188" s="3" t="s">
        <v>172</v>
      </c>
      <c r="B188" s="7">
        <v>32000</v>
      </c>
      <c r="C188" s="4"/>
      <c r="D188" s="11">
        <v>9642</v>
      </c>
      <c r="E188" s="19">
        <f t="shared" si="2"/>
        <v>-0.69868750000000002</v>
      </c>
    </row>
    <row r="189" spans="1:5" ht="16.2" thickBot="1" x14ac:dyDescent="0.35">
      <c r="A189" s="3" t="s">
        <v>173</v>
      </c>
      <c r="B189" s="7">
        <v>4000</v>
      </c>
      <c r="C189" s="4"/>
      <c r="D189" s="12">
        <v>840</v>
      </c>
      <c r="E189" s="19">
        <f t="shared" si="2"/>
        <v>-0.79</v>
      </c>
    </row>
    <row r="190" spans="1:5" ht="16.2" thickBot="1" x14ac:dyDescent="0.35">
      <c r="A190" s="3" t="s">
        <v>174</v>
      </c>
      <c r="B190" s="7">
        <v>4200</v>
      </c>
      <c r="C190" s="4"/>
      <c r="D190" s="11">
        <v>4140</v>
      </c>
      <c r="E190" s="19">
        <f t="shared" si="2"/>
        <v>-1.4285714285714285E-2</v>
      </c>
    </row>
    <row r="191" spans="1:5" ht="16.2" thickBot="1" x14ac:dyDescent="0.35">
      <c r="A191" s="3" t="s">
        <v>175</v>
      </c>
      <c r="B191" s="7">
        <v>3000</v>
      </c>
      <c r="C191" s="4"/>
      <c r="D191" s="11">
        <v>114</v>
      </c>
      <c r="E191" s="19">
        <f t="shared" si="2"/>
        <v>-0.96199999999999997</v>
      </c>
    </row>
    <row r="192" spans="1:5" ht="16.2" thickBot="1" x14ac:dyDescent="0.35">
      <c r="A192" s="3" t="s">
        <v>176</v>
      </c>
      <c r="B192" s="7">
        <v>10500</v>
      </c>
      <c r="C192" s="4"/>
      <c r="D192" s="12">
        <v>196</v>
      </c>
      <c r="E192" s="19">
        <f t="shared" si="2"/>
        <v>-0.98133333333333328</v>
      </c>
    </row>
    <row r="193" spans="1:5" ht="16.2" thickBot="1" x14ac:dyDescent="0.35">
      <c r="A193" s="3" t="s">
        <v>177</v>
      </c>
      <c r="B193" s="7">
        <v>10800</v>
      </c>
      <c r="C193" s="4"/>
      <c r="D193" s="11" t="s">
        <v>5</v>
      </c>
      <c r="E193" s="19" t="e" vm="1">
        <f t="shared" si="2"/>
        <v>#VALUE!</v>
      </c>
    </row>
    <row r="194" spans="1:5" ht="16.2" thickBot="1" x14ac:dyDescent="0.35">
      <c r="A194" s="3" t="s">
        <v>178</v>
      </c>
      <c r="B194" s="7">
        <v>2500</v>
      </c>
      <c r="C194" s="4"/>
      <c r="D194" s="11">
        <v>335</v>
      </c>
      <c r="E194" s="19">
        <f t="shared" si="2"/>
        <v>-0.86599999999999999</v>
      </c>
    </row>
    <row r="195" spans="1:5" ht="16.2" thickBot="1" x14ac:dyDescent="0.35">
      <c r="A195" s="3" t="s">
        <v>179</v>
      </c>
      <c r="B195" s="6">
        <v>400</v>
      </c>
      <c r="C195" s="4"/>
      <c r="D195" s="11">
        <v>30</v>
      </c>
      <c r="E195" s="19">
        <f t="shared" si="2"/>
        <v>-0.92500000000000004</v>
      </c>
    </row>
    <row r="196" spans="1:5" ht="16.2" thickBot="1" x14ac:dyDescent="0.35">
      <c r="A196" s="3" t="s">
        <v>180</v>
      </c>
      <c r="B196" s="6">
        <v>605</v>
      </c>
      <c r="C196" s="4"/>
      <c r="D196" s="11">
        <v>95</v>
      </c>
      <c r="E196" s="19">
        <f t="shared" si="2"/>
        <v>-0.84297520661157022</v>
      </c>
    </row>
    <row r="197" spans="1:5" ht="16.2" thickBot="1" x14ac:dyDescent="0.35">
      <c r="A197" s="3" t="s">
        <v>181</v>
      </c>
      <c r="B197" s="7">
        <v>3500</v>
      </c>
      <c r="C197" s="4"/>
      <c r="D197" s="11">
        <v>3724</v>
      </c>
      <c r="E197" s="19">
        <f t="shared" si="2"/>
        <v>6.4000000000000001E-2</v>
      </c>
    </row>
    <row r="198" spans="1:5" ht="16.2" thickBot="1" x14ac:dyDescent="0.35">
      <c r="A198" s="3" t="s">
        <v>182</v>
      </c>
      <c r="B198" s="7">
        <v>5000</v>
      </c>
      <c r="C198" s="4"/>
      <c r="D198" s="12">
        <v>7201</v>
      </c>
      <c r="E198" s="19">
        <f t="shared" ref="E198:E261" si="3">(D198-B198)/B198</f>
        <v>0.44019999999999998</v>
      </c>
    </row>
    <row r="199" spans="1:5" ht="16.2" thickBot="1" x14ac:dyDescent="0.35">
      <c r="A199" s="3" t="s">
        <v>183</v>
      </c>
      <c r="B199" s="7">
        <v>5000</v>
      </c>
      <c r="C199" s="4"/>
      <c r="D199" s="11">
        <v>140</v>
      </c>
      <c r="E199" s="19">
        <f t="shared" si="3"/>
        <v>-0.97199999999999998</v>
      </c>
    </row>
    <row r="200" spans="1:5" ht="16.2" thickBot="1" x14ac:dyDescent="0.35">
      <c r="A200" s="3" t="s">
        <v>184</v>
      </c>
      <c r="B200" s="7">
        <v>5200</v>
      </c>
      <c r="C200" s="4"/>
      <c r="D200" s="12">
        <v>6426</v>
      </c>
      <c r="E200" s="19">
        <f t="shared" si="3"/>
        <v>0.23576923076923076</v>
      </c>
    </row>
    <row r="201" spans="1:5" ht="16.2" thickBot="1" x14ac:dyDescent="0.35">
      <c r="A201" s="3" t="s">
        <v>185</v>
      </c>
      <c r="B201" s="7">
        <v>20000</v>
      </c>
      <c r="C201" s="4"/>
      <c r="D201" s="11">
        <v>3612</v>
      </c>
      <c r="E201" s="19">
        <f t="shared" si="3"/>
        <v>-0.81940000000000002</v>
      </c>
    </row>
    <row r="202" spans="1:5" ht="16.2" thickBot="1" x14ac:dyDescent="0.35">
      <c r="A202" s="3" t="s">
        <v>186</v>
      </c>
      <c r="B202" s="7">
        <v>88000</v>
      </c>
      <c r="C202" s="4"/>
      <c r="D202" s="12">
        <v>81265</v>
      </c>
      <c r="E202" s="19">
        <f t="shared" si="3"/>
        <v>-7.6534090909090913E-2</v>
      </c>
    </row>
    <row r="203" spans="1:5" ht="16.2" thickBot="1" x14ac:dyDescent="0.35">
      <c r="A203" s="3" t="s">
        <v>187</v>
      </c>
      <c r="B203" s="7">
        <v>3000</v>
      </c>
      <c r="C203" s="4"/>
      <c r="D203" s="11">
        <v>1834</v>
      </c>
      <c r="E203" s="19">
        <f t="shared" si="3"/>
        <v>-0.38866666666666666</v>
      </c>
    </row>
    <row r="204" spans="1:5" ht="16.2" thickBot="1" x14ac:dyDescent="0.35">
      <c r="A204" s="3" t="s">
        <v>188</v>
      </c>
      <c r="B204" s="7">
        <v>50000</v>
      </c>
      <c r="C204" s="4"/>
      <c r="D204" s="12">
        <v>30175</v>
      </c>
      <c r="E204" s="19">
        <f t="shared" si="3"/>
        <v>-0.39650000000000002</v>
      </c>
    </row>
    <row r="205" spans="1:5" ht="16.2" thickBot="1" x14ac:dyDescent="0.35">
      <c r="A205" s="3" t="s">
        <v>189</v>
      </c>
      <c r="B205" s="7">
        <v>50000</v>
      </c>
      <c r="C205" s="4"/>
      <c r="D205" s="11">
        <v>44880</v>
      </c>
      <c r="E205" s="19">
        <f t="shared" si="3"/>
        <v>-0.1024</v>
      </c>
    </row>
    <row r="206" spans="1:5" ht="16.2" thickBot="1" x14ac:dyDescent="0.35">
      <c r="A206" s="3" t="s">
        <v>190</v>
      </c>
      <c r="B206" s="7">
        <v>498092</v>
      </c>
      <c r="C206" s="4"/>
      <c r="D206" s="12">
        <v>137013</v>
      </c>
      <c r="E206" s="19">
        <f t="shared" si="3"/>
        <v>-0.72492431117143019</v>
      </c>
    </row>
    <row r="207" spans="1:5" ht="16.2" thickBot="1" x14ac:dyDescent="0.35">
      <c r="A207" s="3" t="s">
        <v>191</v>
      </c>
      <c r="B207" s="7">
        <v>25000</v>
      </c>
      <c r="C207" s="4"/>
      <c r="D207" s="12">
        <v>11450</v>
      </c>
      <c r="E207" s="19">
        <f t="shared" si="3"/>
        <v>-0.54200000000000004</v>
      </c>
    </row>
    <row r="208" spans="1:5" ht="16.2" thickBot="1" x14ac:dyDescent="0.35">
      <c r="A208" s="3" t="s">
        <v>192</v>
      </c>
      <c r="B208" s="7">
        <v>23300</v>
      </c>
      <c r="C208" s="4"/>
      <c r="D208" s="12">
        <v>22157</v>
      </c>
      <c r="E208" s="19">
        <f t="shared" si="3"/>
        <v>-4.905579399141631E-2</v>
      </c>
    </row>
    <row r="209" spans="1:5" ht="16.2" thickBot="1" x14ac:dyDescent="0.35">
      <c r="A209" s="3" t="s">
        <v>193</v>
      </c>
      <c r="B209" s="7">
        <v>29455</v>
      </c>
      <c r="C209" s="4"/>
      <c r="D209" s="11">
        <v>5769</v>
      </c>
      <c r="E209" s="19">
        <f t="shared" si="3"/>
        <v>-0.80414191139025637</v>
      </c>
    </row>
    <row r="210" spans="1:5" ht="16.2" thickBot="1" x14ac:dyDescent="0.35">
      <c r="A210" s="3" t="s">
        <v>194</v>
      </c>
      <c r="B210" s="7">
        <v>3500</v>
      </c>
      <c r="C210" s="4"/>
      <c r="D210" s="12">
        <v>2126</v>
      </c>
      <c r="E210" s="19">
        <f t="shared" si="3"/>
        <v>-0.39257142857142857</v>
      </c>
    </row>
    <row r="211" spans="1:5" ht="16.2" thickBot="1" x14ac:dyDescent="0.35">
      <c r="A211" s="3" t="s">
        <v>195</v>
      </c>
      <c r="B211" s="7">
        <v>6500</v>
      </c>
      <c r="C211" s="4"/>
      <c r="D211" s="11">
        <v>1829</v>
      </c>
      <c r="E211" s="19">
        <f t="shared" si="3"/>
        <v>-0.71861538461538466</v>
      </c>
    </row>
    <row r="212" spans="1:5" ht="16.2" thickBot="1" x14ac:dyDescent="0.35">
      <c r="A212" s="3" t="s">
        <v>196</v>
      </c>
      <c r="B212" s="7">
        <v>7200</v>
      </c>
      <c r="C212" s="4"/>
      <c r="D212" s="11" t="s">
        <v>5</v>
      </c>
      <c r="E212" s="19" t="e" vm="1">
        <f t="shared" si="3"/>
        <v>#VALUE!</v>
      </c>
    </row>
    <row r="213" spans="1:5" ht="16.2" thickBot="1" x14ac:dyDescent="0.35">
      <c r="A213" s="3" t="s">
        <v>197</v>
      </c>
      <c r="B213" s="7">
        <v>2500</v>
      </c>
      <c r="C213" s="4"/>
      <c r="D213" s="11" t="s">
        <v>5</v>
      </c>
      <c r="E213" s="19" t="e" vm="1">
        <f t="shared" si="3"/>
        <v>#VALUE!</v>
      </c>
    </row>
    <row r="214" spans="1:5" ht="16.2" thickBot="1" x14ac:dyDescent="0.35">
      <c r="A214" s="3" t="s">
        <v>198</v>
      </c>
      <c r="B214" s="7">
        <v>5000</v>
      </c>
      <c r="C214" s="4"/>
      <c r="D214" s="11" t="s">
        <v>5</v>
      </c>
      <c r="E214" s="19" t="e" vm="1">
        <f t="shared" si="3"/>
        <v>#VALUE!</v>
      </c>
    </row>
    <row r="215" spans="1:5" ht="16.2" thickBot="1" x14ac:dyDescent="0.35">
      <c r="A215" s="3" t="s">
        <v>199</v>
      </c>
      <c r="B215" s="7">
        <v>1000</v>
      </c>
      <c r="C215" s="4"/>
      <c r="D215" s="11" t="s">
        <v>5</v>
      </c>
      <c r="E215" s="19" t="e" vm="1">
        <f t="shared" si="3"/>
        <v>#VALUE!</v>
      </c>
    </row>
    <row r="216" spans="1:5" ht="16.2" thickBot="1" x14ac:dyDescent="0.35">
      <c r="A216" s="3" t="s">
        <v>200</v>
      </c>
      <c r="B216" s="7">
        <v>1249212</v>
      </c>
      <c r="C216" s="4"/>
      <c r="D216" s="12">
        <v>571426</v>
      </c>
      <c r="E216" s="19">
        <f t="shared" si="3"/>
        <v>-0.5425708366554276</v>
      </c>
    </row>
    <row r="217" spans="1:5" ht="15" thickBot="1" x14ac:dyDescent="0.35">
      <c r="A217" s="5"/>
      <c r="B217" s="4"/>
      <c r="C217" s="4"/>
      <c r="D217" s="10"/>
      <c r="E217" s="19" t="e">
        <f t="shared" si="3"/>
        <v>#DIV/0!</v>
      </c>
    </row>
    <row r="218" spans="1:5" ht="16.2" thickBot="1" x14ac:dyDescent="0.35">
      <c r="A218" s="3" t="s">
        <v>201</v>
      </c>
      <c r="B218" s="6" t="s">
        <v>5</v>
      </c>
      <c r="C218" s="4"/>
      <c r="D218" s="11" t="s">
        <v>5</v>
      </c>
      <c r="E218" s="19" t="e" vm="1">
        <f t="shared" si="3"/>
        <v>#VALUE!</v>
      </c>
    </row>
    <row r="219" spans="1:5" ht="16.2" thickBot="1" x14ac:dyDescent="0.35">
      <c r="A219" s="3" t="s">
        <v>202</v>
      </c>
      <c r="B219" s="6">
        <v>500</v>
      </c>
      <c r="C219" s="4"/>
      <c r="D219" s="11">
        <v>636</v>
      </c>
      <c r="E219" s="19">
        <f t="shared" si="3"/>
        <v>0.27200000000000002</v>
      </c>
    </row>
    <row r="220" spans="1:5" ht="16.2" thickBot="1" x14ac:dyDescent="0.35">
      <c r="A220" s="3" t="s">
        <v>203</v>
      </c>
      <c r="B220" s="7">
        <v>2200</v>
      </c>
      <c r="C220" s="4"/>
      <c r="D220" s="11">
        <v>2114</v>
      </c>
      <c r="E220" s="19">
        <f t="shared" si="3"/>
        <v>-3.9090909090909093E-2</v>
      </c>
    </row>
    <row r="221" spans="1:5" ht="16.2" thickBot="1" x14ac:dyDescent="0.35">
      <c r="A221" s="3" t="s">
        <v>204</v>
      </c>
      <c r="B221" s="7">
        <v>22000</v>
      </c>
      <c r="C221" s="4"/>
      <c r="D221" s="12">
        <v>1238</v>
      </c>
      <c r="E221" s="19">
        <f t="shared" si="3"/>
        <v>-0.94372727272727275</v>
      </c>
    </row>
    <row r="222" spans="1:5" ht="16.2" thickBot="1" x14ac:dyDescent="0.35">
      <c r="A222" s="3" t="s">
        <v>205</v>
      </c>
      <c r="B222" s="7">
        <v>12000</v>
      </c>
      <c r="C222" s="4"/>
      <c r="D222" s="11">
        <v>1824</v>
      </c>
      <c r="E222" s="19">
        <f t="shared" si="3"/>
        <v>-0.84799999999999998</v>
      </c>
    </row>
    <row r="223" spans="1:5" ht="16.2" thickBot="1" x14ac:dyDescent="0.35">
      <c r="A223" s="3" t="s">
        <v>206</v>
      </c>
      <c r="B223" s="7">
        <v>3800</v>
      </c>
      <c r="C223" s="4"/>
      <c r="D223" s="12">
        <v>3407</v>
      </c>
      <c r="E223" s="19">
        <f t="shared" si="3"/>
        <v>-0.10342105263157894</v>
      </c>
    </row>
    <row r="224" spans="1:5" ht="16.2" thickBot="1" x14ac:dyDescent="0.35">
      <c r="A224" s="3" t="s">
        <v>207</v>
      </c>
      <c r="B224" s="7">
        <v>18000</v>
      </c>
      <c r="C224" s="4"/>
      <c r="D224" s="12">
        <v>20636</v>
      </c>
      <c r="E224" s="19">
        <f t="shared" si="3"/>
        <v>0.14644444444444443</v>
      </c>
    </row>
    <row r="225" spans="1:5" ht="16.2" thickBot="1" x14ac:dyDescent="0.35">
      <c r="A225" s="3" t="s">
        <v>208</v>
      </c>
      <c r="B225" s="7">
        <v>2250</v>
      </c>
      <c r="C225" s="4"/>
      <c r="D225" s="11" t="s">
        <v>5</v>
      </c>
      <c r="E225" s="19" t="e" vm="1">
        <f t="shared" si="3"/>
        <v>#VALUE!</v>
      </c>
    </row>
    <row r="226" spans="1:5" ht="16.2" thickBot="1" x14ac:dyDescent="0.35">
      <c r="A226" s="3" t="s">
        <v>209</v>
      </c>
      <c r="B226" s="7">
        <v>60750</v>
      </c>
      <c r="C226" s="4"/>
      <c r="D226" s="12">
        <f>SUM(D219:D225)</f>
        <v>29855</v>
      </c>
      <c r="E226" s="19">
        <f t="shared" si="3"/>
        <v>-0.50855967078189301</v>
      </c>
    </row>
    <row r="227" spans="1:5" ht="15" thickBot="1" x14ac:dyDescent="0.35">
      <c r="A227" s="5"/>
      <c r="B227" s="4"/>
      <c r="C227" s="4"/>
      <c r="D227" s="10"/>
      <c r="E227" s="19" t="e">
        <f t="shared" si="3"/>
        <v>#DIV/0!</v>
      </c>
    </row>
    <row r="228" spans="1:5" ht="16.2" thickBot="1" x14ac:dyDescent="0.35">
      <c r="A228" s="3" t="s">
        <v>210</v>
      </c>
      <c r="B228" s="6" t="s">
        <v>5</v>
      </c>
      <c r="C228" s="4"/>
      <c r="D228" s="11" t="s">
        <v>5</v>
      </c>
      <c r="E228" s="19" t="e" vm="1">
        <f t="shared" si="3"/>
        <v>#VALUE!</v>
      </c>
    </row>
    <row r="229" spans="1:5" ht="16.2" thickBot="1" x14ac:dyDescent="0.35">
      <c r="A229" s="3" t="s">
        <v>211</v>
      </c>
      <c r="B229" s="6">
        <v>340</v>
      </c>
      <c r="C229" s="4"/>
      <c r="D229" s="11">
        <v>579</v>
      </c>
      <c r="E229" s="19">
        <f t="shared" si="3"/>
        <v>0.70294117647058818</v>
      </c>
    </row>
    <row r="230" spans="1:5" ht="16.2" thickBot="1" x14ac:dyDescent="0.35">
      <c r="A230" s="3" t="s">
        <v>212</v>
      </c>
      <c r="B230" s="6">
        <v>100</v>
      </c>
      <c r="C230" s="4"/>
      <c r="D230" s="11">
        <v>100</v>
      </c>
      <c r="E230" s="19">
        <f t="shared" si="3"/>
        <v>0</v>
      </c>
    </row>
    <row r="231" spans="1:5" ht="16.2" thickBot="1" x14ac:dyDescent="0.35">
      <c r="A231" s="3" t="s">
        <v>213</v>
      </c>
      <c r="B231" s="7">
        <v>2500</v>
      </c>
      <c r="C231" s="4"/>
      <c r="D231" s="11">
        <v>2500</v>
      </c>
      <c r="E231" s="19">
        <f t="shared" si="3"/>
        <v>0</v>
      </c>
    </row>
    <row r="232" spans="1:5" ht="16.2" thickBot="1" x14ac:dyDescent="0.35">
      <c r="A232" s="3" t="s">
        <v>214</v>
      </c>
      <c r="B232" s="6">
        <v>400</v>
      </c>
      <c r="C232" s="4"/>
      <c r="D232" s="11">
        <v>224</v>
      </c>
      <c r="E232" s="19">
        <f t="shared" si="3"/>
        <v>-0.44</v>
      </c>
    </row>
    <row r="233" spans="1:5" ht="16.2" thickBot="1" x14ac:dyDescent="0.35">
      <c r="A233" s="3" t="s">
        <v>215</v>
      </c>
      <c r="B233" s="6">
        <v>75</v>
      </c>
      <c r="C233" s="4"/>
      <c r="D233" s="11">
        <v>30</v>
      </c>
      <c r="E233" s="19">
        <f t="shared" si="3"/>
        <v>-0.6</v>
      </c>
    </row>
    <row r="234" spans="1:5" ht="16.2" thickBot="1" x14ac:dyDescent="0.35">
      <c r="A234" s="3" t="s">
        <v>216</v>
      </c>
      <c r="B234" s="6">
        <v>190</v>
      </c>
      <c r="C234" s="4"/>
      <c r="D234" s="11">
        <v>40</v>
      </c>
      <c r="E234" s="19">
        <f t="shared" si="3"/>
        <v>-0.78947368421052633</v>
      </c>
    </row>
    <row r="235" spans="1:5" ht="16.2" thickBot="1" x14ac:dyDescent="0.35">
      <c r="A235" s="3" t="s">
        <v>217</v>
      </c>
      <c r="B235" s="6">
        <v>75</v>
      </c>
      <c r="C235" s="4"/>
      <c r="D235" s="11">
        <v>75</v>
      </c>
      <c r="E235" s="19">
        <f t="shared" si="3"/>
        <v>0</v>
      </c>
    </row>
    <row r="236" spans="1:5" ht="16.2" thickBot="1" x14ac:dyDescent="0.35">
      <c r="A236" s="3" t="s">
        <v>218</v>
      </c>
      <c r="B236" s="6">
        <v>175</v>
      </c>
      <c r="C236" s="4"/>
      <c r="D236" s="11">
        <v>150</v>
      </c>
      <c r="E236" s="19">
        <f t="shared" si="3"/>
        <v>-0.14285714285714285</v>
      </c>
    </row>
    <row r="237" spans="1:5" ht="16.2" thickBot="1" x14ac:dyDescent="0.35">
      <c r="A237" s="3" t="s">
        <v>219</v>
      </c>
      <c r="B237" s="6">
        <v>200</v>
      </c>
      <c r="C237" s="4"/>
      <c r="D237" s="11" t="s">
        <v>5</v>
      </c>
      <c r="E237" s="19" t="e" vm="1">
        <f t="shared" si="3"/>
        <v>#VALUE!</v>
      </c>
    </row>
    <row r="238" spans="1:5" ht="16.2" thickBot="1" x14ac:dyDescent="0.35">
      <c r="A238" s="3" t="s">
        <v>220</v>
      </c>
      <c r="B238" s="6">
        <v>75</v>
      </c>
      <c r="C238" s="4"/>
      <c r="D238" s="11" t="s">
        <v>5</v>
      </c>
      <c r="E238" s="19" t="e" vm="1">
        <f t="shared" si="3"/>
        <v>#VALUE!</v>
      </c>
    </row>
    <row r="239" spans="1:5" ht="16.2" thickBot="1" x14ac:dyDescent="0.35">
      <c r="A239" s="3" t="s">
        <v>221</v>
      </c>
      <c r="B239" s="7">
        <v>4130</v>
      </c>
      <c r="C239" s="4"/>
      <c r="D239" s="11">
        <v>3698</v>
      </c>
      <c r="E239" s="19">
        <f t="shared" si="3"/>
        <v>-0.10460048426150122</v>
      </c>
    </row>
    <row r="240" spans="1:5" ht="15" thickBot="1" x14ac:dyDescent="0.35">
      <c r="A240" s="5"/>
      <c r="B240" s="4"/>
      <c r="C240" s="4"/>
      <c r="D240" s="10"/>
      <c r="E240" s="19" t="e">
        <f t="shared" si="3"/>
        <v>#DIV/0!</v>
      </c>
    </row>
    <row r="241" spans="1:5" ht="16.2" thickBot="1" x14ac:dyDescent="0.35">
      <c r="A241" s="3" t="s">
        <v>222</v>
      </c>
      <c r="B241" s="6" t="s">
        <v>5</v>
      </c>
      <c r="C241" s="4"/>
      <c r="D241" s="11" t="s">
        <v>5</v>
      </c>
      <c r="E241" s="19" t="e" vm="1">
        <f t="shared" si="3"/>
        <v>#VALUE!</v>
      </c>
    </row>
    <row r="242" spans="1:5" ht="16.2" thickBot="1" x14ac:dyDescent="0.35">
      <c r="A242" s="3" t="s">
        <v>223</v>
      </c>
      <c r="B242" s="7">
        <v>1500</v>
      </c>
      <c r="C242" s="4"/>
      <c r="D242" s="11">
        <v>6265</v>
      </c>
      <c r="E242" s="19">
        <f t="shared" si="3"/>
        <v>3.1766666666666667</v>
      </c>
    </row>
    <row r="243" spans="1:5" ht="16.2" thickBot="1" x14ac:dyDescent="0.35">
      <c r="A243" s="3" t="s">
        <v>224</v>
      </c>
      <c r="B243" s="7">
        <v>5000</v>
      </c>
      <c r="C243" s="4"/>
      <c r="D243" s="12">
        <v>3025</v>
      </c>
      <c r="E243" s="19">
        <f t="shared" si="3"/>
        <v>-0.39500000000000002</v>
      </c>
    </row>
    <row r="244" spans="1:5" ht="16.2" thickBot="1" x14ac:dyDescent="0.35">
      <c r="A244" s="3" t="s">
        <v>225</v>
      </c>
      <c r="B244" s="6">
        <v>900</v>
      </c>
      <c r="C244" s="4"/>
      <c r="D244" s="11">
        <v>286</v>
      </c>
      <c r="E244" s="19">
        <f t="shared" si="3"/>
        <v>-0.68222222222222217</v>
      </c>
    </row>
    <row r="245" spans="1:5" ht="16.2" thickBot="1" x14ac:dyDescent="0.35">
      <c r="A245" s="3" t="s">
        <v>226</v>
      </c>
      <c r="B245" s="7">
        <v>25000</v>
      </c>
      <c r="C245" s="4"/>
      <c r="D245" s="12">
        <v>25137</v>
      </c>
      <c r="E245" s="19">
        <f t="shared" si="3"/>
        <v>5.4799999999999996E-3</v>
      </c>
    </row>
    <row r="246" spans="1:5" ht="16.2" thickBot="1" x14ac:dyDescent="0.35">
      <c r="A246" s="3" t="s">
        <v>227</v>
      </c>
      <c r="B246" s="7">
        <v>2500</v>
      </c>
      <c r="C246" s="4"/>
      <c r="D246" s="11">
        <v>158</v>
      </c>
      <c r="E246" s="19">
        <f t="shared" si="3"/>
        <v>-0.93679999999999997</v>
      </c>
    </row>
    <row r="247" spans="1:5" ht="16.2" thickBot="1" x14ac:dyDescent="0.35">
      <c r="A247" s="3" t="s">
        <v>228</v>
      </c>
      <c r="B247" s="7">
        <v>1250</v>
      </c>
      <c r="C247" s="4"/>
      <c r="D247" s="11">
        <v>983</v>
      </c>
      <c r="E247" s="19">
        <f t="shared" si="3"/>
        <v>-0.21360000000000001</v>
      </c>
    </row>
    <row r="248" spans="1:5" ht="16.2" thickBot="1" x14ac:dyDescent="0.35">
      <c r="A248" s="3" t="s">
        <v>229</v>
      </c>
      <c r="B248" s="7">
        <v>5000</v>
      </c>
      <c r="C248" s="4"/>
      <c r="D248" s="11">
        <v>3286</v>
      </c>
      <c r="E248" s="19">
        <f t="shared" si="3"/>
        <v>-0.34279999999999999</v>
      </c>
    </row>
    <row r="249" spans="1:5" ht="16.2" thickBot="1" x14ac:dyDescent="0.35">
      <c r="A249" s="3" t="s">
        <v>230</v>
      </c>
      <c r="B249" s="7">
        <v>4000</v>
      </c>
      <c r="C249" s="4"/>
      <c r="D249" s="11">
        <v>1261</v>
      </c>
      <c r="E249" s="19">
        <f t="shared" si="3"/>
        <v>-0.68474999999999997</v>
      </c>
    </row>
    <row r="250" spans="1:5" ht="16.2" thickBot="1" x14ac:dyDescent="0.35">
      <c r="A250" s="3" t="s">
        <v>231</v>
      </c>
      <c r="B250" s="7">
        <v>19000</v>
      </c>
      <c r="C250" s="4"/>
      <c r="D250" s="11">
        <v>8721</v>
      </c>
      <c r="E250" s="19">
        <f t="shared" si="3"/>
        <v>-0.54100000000000004</v>
      </c>
    </row>
    <row r="251" spans="1:5" ht="16.2" thickBot="1" x14ac:dyDescent="0.35">
      <c r="A251" s="3" t="s">
        <v>232</v>
      </c>
      <c r="B251" s="7">
        <v>7000</v>
      </c>
      <c r="C251" s="4"/>
      <c r="D251" s="11">
        <v>4321</v>
      </c>
      <c r="E251" s="19">
        <f t="shared" si="3"/>
        <v>-0.38271428571428573</v>
      </c>
    </row>
    <row r="252" spans="1:5" ht="16.2" thickBot="1" x14ac:dyDescent="0.35">
      <c r="A252" s="3" t="s">
        <v>233</v>
      </c>
      <c r="B252" s="7">
        <v>3000</v>
      </c>
      <c r="C252" s="4"/>
      <c r="D252" s="11">
        <v>2130</v>
      </c>
      <c r="E252" s="19">
        <f t="shared" si="3"/>
        <v>-0.28999999999999998</v>
      </c>
    </row>
    <row r="253" spans="1:5" ht="16.2" thickBot="1" x14ac:dyDescent="0.35">
      <c r="A253" s="3" t="s">
        <v>234</v>
      </c>
      <c r="B253" s="7">
        <v>11000</v>
      </c>
      <c r="C253" s="4"/>
      <c r="D253" s="11">
        <v>4360</v>
      </c>
      <c r="E253" s="19">
        <f t="shared" si="3"/>
        <v>-0.60363636363636364</v>
      </c>
    </row>
    <row r="254" spans="1:5" ht="16.2" thickBot="1" x14ac:dyDescent="0.35">
      <c r="A254" s="3" t="s">
        <v>235</v>
      </c>
      <c r="B254" s="7">
        <v>7000</v>
      </c>
      <c r="C254" s="4"/>
      <c r="D254" s="12">
        <v>7230</v>
      </c>
      <c r="E254" s="19">
        <f t="shared" si="3"/>
        <v>3.2857142857142856E-2</v>
      </c>
    </row>
    <row r="255" spans="1:5" ht="16.2" thickBot="1" x14ac:dyDescent="0.35">
      <c r="A255" s="3" t="s">
        <v>236</v>
      </c>
      <c r="B255" s="6">
        <v>900</v>
      </c>
      <c r="C255" s="4"/>
      <c r="D255" s="11">
        <v>387</v>
      </c>
      <c r="E255" s="19">
        <f t="shared" si="3"/>
        <v>-0.56999999999999995</v>
      </c>
    </row>
    <row r="256" spans="1:5" ht="16.2" thickBot="1" x14ac:dyDescent="0.35">
      <c r="A256" s="3" t="s">
        <v>237</v>
      </c>
      <c r="B256" s="7">
        <v>38320</v>
      </c>
      <c r="C256" s="4"/>
      <c r="D256" s="12">
        <v>36676</v>
      </c>
      <c r="E256" s="19">
        <f t="shared" si="3"/>
        <v>-4.2901878914405008E-2</v>
      </c>
    </row>
    <row r="257" spans="1:5" ht="16.2" thickBot="1" x14ac:dyDescent="0.35">
      <c r="A257" s="3" t="s">
        <v>238</v>
      </c>
      <c r="B257" s="6">
        <v>800</v>
      </c>
      <c r="C257" s="4"/>
      <c r="D257" s="11">
        <v>261</v>
      </c>
      <c r="E257" s="19">
        <f t="shared" si="3"/>
        <v>-0.67374999999999996</v>
      </c>
    </row>
    <row r="258" spans="1:5" ht="16.2" thickBot="1" x14ac:dyDescent="0.35">
      <c r="A258" s="3" t="s">
        <v>239</v>
      </c>
      <c r="B258" s="7">
        <v>9602</v>
      </c>
      <c r="C258" s="4"/>
      <c r="D258" s="12">
        <v>9079</v>
      </c>
      <c r="E258" s="19">
        <f t="shared" si="3"/>
        <v>-5.4467819204332434E-2</v>
      </c>
    </row>
    <row r="259" spans="1:5" ht="16.2" thickBot="1" x14ac:dyDescent="0.35">
      <c r="A259" s="3" t="s">
        <v>240</v>
      </c>
      <c r="B259" s="7">
        <v>9602</v>
      </c>
      <c r="C259" s="4"/>
      <c r="D259" s="11">
        <v>9502</v>
      </c>
      <c r="E259" s="19">
        <f t="shared" si="3"/>
        <v>-1.0414496979795875E-2</v>
      </c>
    </row>
    <row r="260" spans="1:5" ht="16.2" thickBot="1" x14ac:dyDescent="0.35">
      <c r="A260" s="3" t="s">
        <v>241</v>
      </c>
      <c r="B260" s="7">
        <v>112028</v>
      </c>
      <c r="C260" s="4"/>
      <c r="D260" s="12">
        <v>56569</v>
      </c>
      <c r="E260" s="19">
        <f t="shared" si="3"/>
        <v>-0.49504588138679617</v>
      </c>
    </row>
    <row r="261" spans="1:5" ht="16.2" thickBot="1" x14ac:dyDescent="0.35">
      <c r="A261" s="3" t="s">
        <v>242</v>
      </c>
      <c r="B261" s="7">
        <v>8000</v>
      </c>
      <c r="C261" s="4"/>
      <c r="D261" s="11">
        <v>1696</v>
      </c>
      <c r="E261" s="19">
        <f t="shared" si="3"/>
        <v>-0.78800000000000003</v>
      </c>
    </row>
    <row r="262" spans="1:5" ht="16.2" thickBot="1" x14ac:dyDescent="0.35">
      <c r="A262" s="3" t="s">
        <v>243</v>
      </c>
      <c r="B262" s="7">
        <v>12188</v>
      </c>
      <c r="C262" s="4"/>
      <c r="D262" s="11">
        <v>1397</v>
      </c>
      <c r="E262" s="19">
        <f t="shared" ref="E262:E280" si="4">(D262-B262)/B262</f>
        <v>-0.88537906137184119</v>
      </c>
    </row>
    <row r="263" spans="1:5" ht="16.2" thickBot="1" x14ac:dyDescent="0.35">
      <c r="A263" s="3" t="s">
        <v>244</v>
      </c>
      <c r="B263" s="6">
        <v>800</v>
      </c>
      <c r="C263" s="4"/>
      <c r="D263" s="11">
        <v>662</v>
      </c>
      <c r="E263" s="19">
        <f t="shared" si="4"/>
        <v>-0.17249999999999999</v>
      </c>
    </row>
    <row r="264" spans="1:5" ht="16.2" thickBot="1" x14ac:dyDescent="0.35">
      <c r="A264" s="3" t="s">
        <v>245</v>
      </c>
      <c r="B264" s="7">
        <v>3000</v>
      </c>
      <c r="C264" s="4"/>
      <c r="D264" s="11">
        <v>457</v>
      </c>
      <c r="E264" s="19">
        <f t="shared" si="4"/>
        <v>-0.84766666666666668</v>
      </c>
    </row>
    <row r="265" spans="1:5" ht="16.2" thickBot="1" x14ac:dyDescent="0.35">
      <c r="A265" s="3" t="s">
        <v>246</v>
      </c>
      <c r="B265" s="7">
        <v>1500</v>
      </c>
      <c r="C265" s="4"/>
      <c r="D265" s="11" t="s">
        <v>5</v>
      </c>
      <c r="E265" s="19" t="e" vm="1">
        <f t="shared" si="4"/>
        <v>#VALUE!</v>
      </c>
    </row>
    <row r="266" spans="1:5" ht="16.2" thickBot="1" x14ac:dyDescent="0.35">
      <c r="A266" s="3" t="s">
        <v>247</v>
      </c>
      <c r="B266" s="7">
        <v>2000</v>
      </c>
      <c r="C266" s="4"/>
      <c r="D266" s="11" t="s">
        <v>5</v>
      </c>
      <c r="E266" s="19" t="e" vm="1">
        <f t="shared" si="4"/>
        <v>#VALUE!</v>
      </c>
    </row>
    <row r="267" spans="1:5" ht="16.2" thickBot="1" x14ac:dyDescent="0.35">
      <c r="A267" s="3" t="s">
        <v>248</v>
      </c>
      <c r="B267" s="7">
        <v>40000</v>
      </c>
      <c r="C267" s="4"/>
      <c r="D267" s="11" t="s">
        <v>5</v>
      </c>
      <c r="E267" s="19" t="e" vm="1">
        <f t="shared" si="4"/>
        <v>#VALUE!</v>
      </c>
    </row>
    <row r="268" spans="1:5" ht="16.2" thickBot="1" x14ac:dyDescent="0.35">
      <c r="A268" s="3" t="s">
        <v>249</v>
      </c>
      <c r="B268" s="7">
        <v>330890</v>
      </c>
      <c r="C268" s="4"/>
      <c r="D268" s="12">
        <f>SUM(D242:D266)</f>
        <v>183849</v>
      </c>
      <c r="E268" s="19">
        <f t="shared" si="4"/>
        <v>-0.44438030765511199</v>
      </c>
    </row>
    <row r="269" spans="1:5" ht="15" thickBot="1" x14ac:dyDescent="0.35">
      <c r="A269" s="5"/>
      <c r="B269" s="4"/>
      <c r="C269" s="4"/>
      <c r="D269" s="10"/>
      <c r="E269" s="19" t="e">
        <f t="shared" si="4"/>
        <v>#DIV/0!</v>
      </c>
    </row>
    <row r="270" spans="1:5" ht="16.2" thickBot="1" x14ac:dyDescent="0.35">
      <c r="A270" s="3" t="s">
        <v>54</v>
      </c>
      <c r="B270" s="6" t="s">
        <v>5</v>
      </c>
      <c r="C270" s="4"/>
      <c r="D270" s="11" t="s">
        <v>5</v>
      </c>
      <c r="E270" s="19" t="e" vm="1">
        <f t="shared" si="4"/>
        <v>#VALUE!</v>
      </c>
    </row>
    <row r="271" spans="1:5" ht="16.2" thickBot="1" x14ac:dyDescent="0.35">
      <c r="A271" s="3" t="s">
        <v>250</v>
      </c>
      <c r="B271" s="7">
        <v>142800</v>
      </c>
      <c r="C271" s="4"/>
      <c r="D271" s="12">
        <v>68151</v>
      </c>
      <c r="E271" s="19">
        <f t="shared" si="4"/>
        <v>-0.52275210084033619</v>
      </c>
    </row>
    <row r="272" spans="1:5" ht="16.2" thickBot="1" x14ac:dyDescent="0.35">
      <c r="A272" s="3" t="s">
        <v>56</v>
      </c>
      <c r="B272" s="7">
        <v>142800</v>
      </c>
      <c r="C272" s="4"/>
      <c r="D272" s="12">
        <v>68151</v>
      </c>
      <c r="E272" s="19">
        <f t="shared" si="4"/>
        <v>-0.52275210084033619</v>
      </c>
    </row>
    <row r="273" spans="1:5" ht="15" thickBot="1" x14ac:dyDescent="0.35">
      <c r="A273" s="5"/>
      <c r="B273" s="4"/>
      <c r="C273" s="4"/>
      <c r="D273" s="10"/>
      <c r="E273" s="19" t="e">
        <f t="shared" si="4"/>
        <v>#DIV/0!</v>
      </c>
    </row>
    <row r="274" spans="1:5" ht="16.2" thickBot="1" x14ac:dyDescent="0.35">
      <c r="A274" s="3" t="s">
        <v>251</v>
      </c>
      <c r="B274" s="6" t="s">
        <v>5</v>
      </c>
      <c r="C274" s="4"/>
      <c r="D274" s="11" t="s">
        <v>5</v>
      </c>
      <c r="E274" s="19" t="e" vm="1">
        <f t="shared" si="4"/>
        <v>#VALUE!</v>
      </c>
    </row>
    <row r="275" spans="1:5" ht="16.2" thickBot="1" x14ac:dyDescent="0.35">
      <c r="A275" s="3" t="s">
        <v>252</v>
      </c>
      <c r="B275" s="6" t="s">
        <v>5</v>
      </c>
      <c r="C275" s="4"/>
      <c r="D275" s="11" t="s">
        <v>5</v>
      </c>
      <c r="E275" s="19" t="e" vm="1">
        <f t="shared" si="4"/>
        <v>#VALUE!</v>
      </c>
    </row>
    <row r="276" spans="1:5" ht="16.2" thickBot="1" x14ac:dyDescent="0.35">
      <c r="A276" s="3" t="s">
        <v>253</v>
      </c>
      <c r="B276" s="6" t="s">
        <v>5</v>
      </c>
      <c r="C276" s="4"/>
      <c r="D276" s="11" t="s">
        <v>5</v>
      </c>
      <c r="E276" s="19" t="e" vm="1">
        <f t="shared" si="4"/>
        <v>#VALUE!</v>
      </c>
    </row>
    <row r="277" spans="1:5" ht="15" thickBot="1" x14ac:dyDescent="0.35">
      <c r="A277" s="5"/>
      <c r="B277" s="4"/>
      <c r="C277" s="4"/>
      <c r="D277" s="10"/>
      <c r="E277" s="19" t="e">
        <f t="shared" si="4"/>
        <v>#DIV/0!</v>
      </c>
    </row>
    <row r="278" spans="1:5" ht="16.2" thickBot="1" x14ac:dyDescent="0.35">
      <c r="A278" s="3" t="s">
        <v>254</v>
      </c>
      <c r="B278" s="7">
        <v>3447034</v>
      </c>
      <c r="C278" s="7">
        <v>3697034</v>
      </c>
      <c r="D278" s="12">
        <f>D272+D268+D239+D226+D216+D174+D163+D128+D119+D101+D94+D89+D80</f>
        <v>2114583</v>
      </c>
      <c r="E278" s="19">
        <f t="shared" si="4"/>
        <v>-0.38655000211776269</v>
      </c>
    </row>
    <row r="279" spans="1:5" ht="15.6" x14ac:dyDescent="0.3">
      <c r="A279" s="15" t="s">
        <v>255</v>
      </c>
      <c r="B279" s="15" t="s">
        <v>5</v>
      </c>
      <c r="C279" s="17"/>
      <c r="D279" s="13"/>
      <c r="E279" s="19" t="e" vm="1">
        <f t="shared" si="4"/>
        <v>#VALUE!</v>
      </c>
    </row>
    <row r="280" spans="1:5" ht="16.2" thickBot="1" x14ac:dyDescent="0.35">
      <c r="A280" s="16"/>
      <c r="B280" s="16"/>
      <c r="C280" s="18"/>
      <c r="D280" s="11">
        <f>D65-D278</f>
        <v>622353</v>
      </c>
      <c r="E280" s="19" t="e">
        <f t="shared" si="4"/>
        <v>#DIV/0!</v>
      </c>
    </row>
  </sheetData>
  <mergeCells count="3">
    <mergeCell ref="A279:A280"/>
    <mergeCell ref="B279:B280"/>
    <mergeCell ref="C279:C2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 Aguilar</dc:creator>
  <cp:lastModifiedBy>Fredy Aguilar</cp:lastModifiedBy>
  <dcterms:created xsi:type="dcterms:W3CDTF">2025-06-16T16:48:34Z</dcterms:created>
  <dcterms:modified xsi:type="dcterms:W3CDTF">2025-09-29T18:02:07Z</dcterms:modified>
</cp:coreProperties>
</file>